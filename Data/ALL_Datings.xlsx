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8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9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ena Baños\Desktop\Doctorat\Doctorat\ALL_DATA\DATINGS\"/>
    </mc:Choice>
  </mc:AlternateContent>
  <xr:revisionPtr revIDLastSave="0" documentId="13_ncr:1_{FFC99FD8-7D79-427D-B77E-B0E6E8F10C9E}" xr6:coauthVersionLast="47" xr6:coauthVersionMax="47" xr10:uidLastSave="{00000000-0000-0000-0000-000000000000}"/>
  <bookViews>
    <workbookView xWindow="-110" yWindow="-110" windowWidth="19420" windowHeight="11500" tabRatio="917" activeTab="9" xr2:uid="{BED41044-F4BA-4A3C-AA4C-5B9C5DBE3A0C}"/>
  </bookViews>
  <sheets>
    <sheet name="CCO" sheetId="6" r:id="rId1"/>
    <sheet name="COL" sheetId="7" r:id="rId2"/>
    <sheet name="STO" sheetId="8" r:id="rId3"/>
    <sheet name="DEE" sheetId="10" r:id="rId4"/>
    <sheet name="CMB" sheetId="11" r:id="rId5"/>
    <sheet name="CSD" sheetId="12" r:id="rId6"/>
    <sheet name="HIT" sheetId="13" r:id="rId7"/>
    <sheet name="HIO" sheetId="14" r:id="rId8"/>
    <sheet name="14C" sheetId="15" r:id="rId9"/>
    <sheet name="All_210Pb" sheetId="9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26" i="13" l="1"/>
  <c r="O28" i="13"/>
  <c r="R26" i="12" l="1"/>
  <c r="R27" i="12"/>
  <c r="R28" i="11"/>
  <c r="R27" i="14"/>
  <c r="S26" i="8"/>
  <c r="R28" i="10"/>
  <c r="R29" i="7"/>
  <c r="R27" i="11"/>
  <c r="H9" i="14"/>
  <c r="H10" i="14"/>
  <c r="H11" i="14"/>
  <c r="H12" i="14"/>
  <c r="H13" i="14"/>
  <c r="G5" i="14"/>
  <c r="H5" i="14" s="1"/>
  <c r="G6" i="14"/>
  <c r="G7" i="14"/>
  <c r="G8" i="14"/>
  <c r="H8" i="14" s="1"/>
  <c r="G9" i="14"/>
  <c r="G10" i="14"/>
  <c r="G11" i="14"/>
  <c r="G12" i="14"/>
  <c r="G13" i="14"/>
  <c r="G14" i="14"/>
  <c r="G4" i="14"/>
  <c r="H4" i="14" s="1"/>
  <c r="H5" i="13"/>
  <c r="H6" i="13"/>
  <c r="H7" i="13"/>
  <c r="H8" i="13"/>
  <c r="H9" i="13"/>
  <c r="H10" i="13"/>
  <c r="H11" i="13"/>
  <c r="H12" i="13"/>
  <c r="H13" i="13"/>
  <c r="G5" i="13"/>
  <c r="G6" i="13"/>
  <c r="G7" i="13"/>
  <c r="G8" i="13"/>
  <c r="G9" i="13"/>
  <c r="G10" i="13"/>
  <c r="G11" i="13"/>
  <c r="G12" i="13"/>
  <c r="G13" i="13"/>
  <c r="G14" i="13"/>
  <c r="G4" i="13"/>
  <c r="J26" i="14"/>
  <c r="O29" i="14" s="1"/>
  <c r="E24" i="14"/>
  <c r="H7" i="14"/>
  <c r="H6" i="14"/>
  <c r="J26" i="13"/>
  <c r="O29" i="13" s="1"/>
  <c r="E24" i="13"/>
  <c r="H4" i="13"/>
  <c r="G8" i="12"/>
  <c r="G4" i="12"/>
  <c r="G5" i="12"/>
  <c r="G6" i="12"/>
  <c r="G7" i="12"/>
  <c r="O27" i="14" l="1"/>
  <c r="O28" i="14"/>
  <c r="O27" i="13"/>
  <c r="Q31" i="14" l="1"/>
  <c r="R26" i="14"/>
  <c r="Q31" i="13"/>
  <c r="R27" i="13"/>
  <c r="G9" i="12" l="1"/>
  <c r="G10" i="12"/>
  <c r="G11" i="12"/>
  <c r="G12" i="12"/>
  <c r="G13" i="12"/>
  <c r="G14" i="12"/>
  <c r="H5" i="12"/>
  <c r="H4" i="12" l="1"/>
  <c r="J26" i="12" l="1"/>
  <c r="E24" i="12"/>
  <c r="O30" i="11"/>
  <c r="J27" i="11"/>
  <c r="O29" i="11" s="1"/>
  <c r="E25" i="11"/>
  <c r="H8" i="11"/>
  <c r="H7" i="11"/>
  <c r="H6" i="11"/>
  <c r="H5" i="11"/>
  <c r="H4" i="11"/>
  <c r="O27" i="12" l="1"/>
  <c r="O29" i="12"/>
  <c r="O28" i="12"/>
  <c r="O28" i="11"/>
  <c r="Q31" i="12" l="1"/>
  <c r="Q32" i="11"/>
  <c r="E25" i="10" l="1"/>
  <c r="O29" i="7"/>
  <c r="J27" i="10"/>
  <c r="H14" i="10"/>
  <c r="O30" i="10"/>
  <c r="H13" i="10"/>
  <c r="H12" i="10"/>
  <c r="H11" i="10"/>
  <c r="H10" i="10"/>
  <c r="H9" i="10"/>
  <c r="H8" i="10"/>
  <c r="H7" i="10"/>
  <c r="H6" i="10"/>
  <c r="H5" i="10"/>
  <c r="H4" i="10"/>
  <c r="S25" i="8"/>
  <c r="R28" i="7"/>
  <c r="R28" i="6"/>
  <c r="R27" i="6"/>
  <c r="Q30" i="8"/>
  <c r="O28" i="6"/>
  <c r="G5" i="8"/>
  <c r="G6" i="8"/>
  <c r="G7" i="8"/>
  <c r="G8" i="8"/>
  <c r="G9" i="8"/>
  <c r="G10" i="8"/>
  <c r="G11" i="8"/>
  <c r="G12" i="8"/>
  <c r="G13" i="8"/>
  <c r="H5" i="8"/>
  <c r="G4" i="8"/>
  <c r="H4" i="8" s="1"/>
  <c r="G5" i="7"/>
  <c r="G6" i="7"/>
  <c r="G7" i="7"/>
  <c r="G8" i="7"/>
  <c r="H8" i="7" s="1"/>
  <c r="G9" i="7"/>
  <c r="H9" i="7" s="1"/>
  <c r="G10" i="7"/>
  <c r="H10" i="7" s="1"/>
  <c r="G11" i="7"/>
  <c r="G12" i="7"/>
  <c r="G13" i="7"/>
  <c r="H13" i="7" s="1"/>
  <c r="G14" i="7"/>
  <c r="H14" i="7" s="1"/>
  <c r="G15" i="7"/>
  <c r="G4" i="7"/>
  <c r="H4" i="7" s="1"/>
  <c r="O28" i="8"/>
  <c r="J27" i="7"/>
  <c r="O30" i="7" s="1"/>
  <c r="E25" i="7"/>
  <c r="H12" i="7"/>
  <c r="H11" i="7"/>
  <c r="H7" i="7"/>
  <c r="H6" i="7"/>
  <c r="H5" i="7"/>
  <c r="O29" i="10" l="1"/>
  <c r="O28" i="10"/>
  <c r="O27" i="8"/>
  <c r="O26" i="8"/>
  <c r="O28" i="7"/>
  <c r="Q32" i="7" s="1"/>
  <c r="Q32" i="10" l="1"/>
  <c r="R27" i="10"/>
  <c r="G5" i="6"/>
  <c r="G6" i="6"/>
  <c r="G7" i="6"/>
  <c r="G8" i="6"/>
  <c r="G9" i="6"/>
  <c r="G10" i="6"/>
  <c r="G11" i="6"/>
  <c r="G12" i="6"/>
  <c r="G13" i="6"/>
  <c r="G14" i="6"/>
  <c r="G15" i="6"/>
  <c r="G4" i="6"/>
  <c r="E25" i="6"/>
  <c r="H6" i="6" l="1"/>
  <c r="H5" i="6"/>
  <c r="H4" i="6"/>
  <c r="H14" i="6"/>
  <c r="H13" i="6"/>
  <c r="H12" i="6"/>
  <c r="H11" i="6"/>
  <c r="H10" i="6"/>
  <c r="H9" i="6"/>
  <c r="H8" i="6"/>
  <c r="H7" i="6"/>
  <c r="J27" i="6"/>
  <c r="O29" i="6" s="1"/>
  <c r="O30" i="6" l="1"/>
  <c r="Q32" i="6"/>
</calcChain>
</file>

<file path=xl/sharedStrings.xml><?xml version="1.0" encoding="utf-8"?>
<sst xmlns="http://schemas.openxmlformats.org/spreadsheetml/2006/main" count="458" uniqueCount="281">
  <si>
    <t>GAU ID</t>
  </si>
  <si>
    <t>Client ID</t>
  </si>
  <si>
    <t xml:space="preserve"> Depth (cm)</t>
  </si>
  <si>
    <t>Po-210</t>
  </si>
  <si>
    <t>Uncert</t>
  </si>
  <si>
    <t>Unsupp Pb</t>
  </si>
  <si>
    <t>LN</t>
  </si>
  <si>
    <t>Pb210 decay constant</t>
  </si>
  <si>
    <t>Value for supported lead in core:</t>
  </si>
  <si>
    <t>Coefficients</t>
  </si>
  <si>
    <t>Standard Error</t>
  </si>
  <si>
    <t>t Stat</t>
  </si>
  <si>
    <t>P-value</t>
  </si>
  <si>
    <t>Lower 95%</t>
  </si>
  <si>
    <t>Upper 95%</t>
  </si>
  <si>
    <t>Lower 95.0%</t>
  </si>
  <si>
    <t>Upper 95.0%</t>
  </si>
  <si>
    <t>CORE ID</t>
  </si>
  <si>
    <t>Upper range</t>
  </si>
  <si>
    <t>Lower range</t>
  </si>
  <si>
    <t>Average</t>
  </si>
  <si>
    <t>Sedimentation Rate (cm/yr)</t>
  </si>
  <si>
    <t>Cicero</t>
  </si>
  <si>
    <t>GAU4576/1</t>
  </si>
  <si>
    <t>CCO_C3_1</t>
  </si>
  <si>
    <t>GAU4576/2</t>
  </si>
  <si>
    <t>CCO_C3_2</t>
  </si>
  <si>
    <t>GAU4576/3</t>
  </si>
  <si>
    <t>CCO_C3_4</t>
  </si>
  <si>
    <t>GAU4576/5</t>
  </si>
  <si>
    <t>CCO_C3_8</t>
  </si>
  <si>
    <t>GAU4576/7</t>
  </si>
  <si>
    <t>CCO_C3_12</t>
  </si>
  <si>
    <t>GAU4576/9</t>
  </si>
  <si>
    <t>CCO_C3_16</t>
  </si>
  <si>
    <t>GAU4576/11</t>
  </si>
  <si>
    <t>CCO_C3_20</t>
  </si>
  <si>
    <t>GAU4576/13</t>
  </si>
  <si>
    <t>CCO_C3_24</t>
  </si>
  <si>
    <t>GAU4576/15</t>
  </si>
  <si>
    <t>CCO_C3_28</t>
  </si>
  <si>
    <t>GAU4576/17</t>
  </si>
  <si>
    <t>CCO_C3_32</t>
  </si>
  <si>
    <t>GAU4576/20</t>
  </si>
  <si>
    <t>CCO_C3_38</t>
  </si>
  <si>
    <t>GAU4576/25</t>
  </si>
  <si>
    <t>CCO_C3_48</t>
  </si>
  <si>
    <t>Data analysis (assuming surface to supported Pb at -48cm)</t>
  </si>
  <si>
    <t>Colindres</t>
  </si>
  <si>
    <t>GAU4573/1</t>
  </si>
  <si>
    <t>CLR_C3_1</t>
  </si>
  <si>
    <t>GAU4573/2</t>
  </si>
  <si>
    <t>CLR_C3_3</t>
  </si>
  <si>
    <t>GAU4573/3</t>
  </si>
  <si>
    <t>CLR_C3_5</t>
  </si>
  <si>
    <t>GAU4573/5</t>
  </si>
  <si>
    <t>CLR_C3_9</t>
  </si>
  <si>
    <t>GAU4573/7</t>
  </si>
  <si>
    <t>CLR_C3_13</t>
  </si>
  <si>
    <t>GAU4573/9</t>
  </si>
  <si>
    <t>CLR_C3_17</t>
  </si>
  <si>
    <t>GAU4573/11</t>
  </si>
  <si>
    <t>CLR_C3_21</t>
  </si>
  <si>
    <t>GAU4573/13</t>
  </si>
  <si>
    <t>CLR_C3_25</t>
  </si>
  <si>
    <t>GAU4573/15</t>
  </si>
  <si>
    <t>CLR_C3_29</t>
  </si>
  <si>
    <t>GAU4573/17</t>
  </si>
  <si>
    <t>CLR_C3_33</t>
  </si>
  <si>
    <t>GAU4573/20</t>
  </si>
  <si>
    <t>CLR_C3_39</t>
  </si>
  <si>
    <t>GAU4573/26</t>
  </si>
  <si>
    <t>CLR_C3_49</t>
  </si>
  <si>
    <t>Santona</t>
  </si>
  <si>
    <t>GAU4568/1</t>
  </si>
  <si>
    <t>STO_C3_1</t>
  </si>
  <si>
    <t>GAU4568/4</t>
  </si>
  <si>
    <t>STO_C3_6</t>
  </si>
  <si>
    <t>GAU4568/6</t>
  </si>
  <si>
    <t>STO_C3_10</t>
  </si>
  <si>
    <t>GAU4568/8</t>
  </si>
  <si>
    <t>STO_C3_14</t>
  </si>
  <si>
    <t>GAU4568/10</t>
  </si>
  <si>
    <t>STO_C3_18</t>
  </si>
  <si>
    <t>GAU4568/13</t>
  </si>
  <si>
    <t>STO_C3_24</t>
  </si>
  <si>
    <t>GAU4568/16</t>
  </si>
  <si>
    <t>STO_C3_30</t>
  </si>
  <si>
    <t>GAU4568/19</t>
  </si>
  <si>
    <t>STO_C3_36</t>
  </si>
  <si>
    <t>GAU4568/22</t>
  </si>
  <si>
    <t>STO_C3_42</t>
  </si>
  <si>
    <t>GAU4568/25</t>
  </si>
  <si>
    <t>STO_C3_48</t>
  </si>
  <si>
    <t>Data analysis: supported activities reached at -10cm, therefore sediment accumulation rate = 10/120 = ca. 0.1cm/y. Condensed sequence.</t>
  </si>
  <si>
    <t>In yr/cm format:</t>
  </si>
  <si>
    <t>Core</t>
  </si>
  <si>
    <t>Site</t>
  </si>
  <si>
    <t>Depth of supported Pb (cm)</t>
  </si>
  <si>
    <t>SAR (cm yr-1)</t>
  </si>
  <si>
    <t>STO</t>
  </si>
  <si>
    <t>CCO</t>
  </si>
  <si>
    <t>CLR</t>
  </si>
  <si>
    <t>0.53</t>
  </si>
  <si>
    <t>Santoña</t>
  </si>
  <si>
    <t>0.1</t>
  </si>
  <si>
    <t>0.63</t>
  </si>
  <si>
    <t>2σ range</t>
  </si>
  <si>
    <t>0.42 - 0.73</t>
  </si>
  <si>
    <t>0.50 - 0.87</t>
  </si>
  <si>
    <t>GAU4569/1</t>
  </si>
  <si>
    <t>GAU4569/2</t>
  </si>
  <si>
    <t>GAU4569/3</t>
  </si>
  <si>
    <t>GAU4569/4</t>
  </si>
  <si>
    <t>GAU4569/5</t>
  </si>
  <si>
    <t>GAU4569/7</t>
  </si>
  <si>
    <t>GAU4569/9</t>
  </si>
  <si>
    <t>GAU4569/11</t>
  </si>
  <si>
    <t>GAU4569/13</t>
  </si>
  <si>
    <t>GAU4569/15</t>
  </si>
  <si>
    <t>GAU4569/20</t>
  </si>
  <si>
    <t>GAU4569/30</t>
  </si>
  <si>
    <t>DEE_C1_1</t>
  </si>
  <si>
    <t>DEE_C1_2</t>
  </si>
  <si>
    <t>DEE_C1_3</t>
  </si>
  <si>
    <t>DEE_C1_4</t>
  </si>
  <si>
    <t>DEE_C1_5</t>
  </si>
  <si>
    <t>DEE_C1_7</t>
  </si>
  <si>
    <t>DEE_C1_9</t>
  </si>
  <si>
    <t>DEE_C1_11</t>
  </si>
  <si>
    <t>DEE_C1_13</t>
  </si>
  <si>
    <t>DEE_C1_15</t>
  </si>
  <si>
    <t>DEE_C1_20</t>
  </si>
  <si>
    <t>DEE_C1_30</t>
  </si>
  <si>
    <t>Ebro Delta</t>
  </si>
  <si>
    <t>Data analysis (assuming surface to supported Pb at -30cm)</t>
  </si>
  <si>
    <t>Cadiz Militar Base</t>
  </si>
  <si>
    <t>GAU4748/16</t>
  </si>
  <si>
    <t>GAU4748/17</t>
  </si>
  <si>
    <t>GAU4748/18</t>
  </si>
  <si>
    <t>GAU4748/19</t>
  </si>
  <si>
    <t>GAU4748/20</t>
  </si>
  <si>
    <t>GAU4748/21</t>
  </si>
  <si>
    <t>GAU4748/22</t>
  </si>
  <si>
    <t>GAU4748/23</t>
  </si>
  <si>
    <t>GAU4748/24</t>
  </si>
  <si>
    <t>GAU4748/25</t>
  </si>
  <si>
    <t>CMB_2_1</t>
  </si>
  <si>
    <t>CMB_2_3</t>
  </si>
  <si>
    <t>CMB_2_5</t>
  </si>
  <si>
    <t>CMB_2_9</t>
  </si>
  <si>
    <t>CMB_2_15</t>
  </si>
  <si>
    <t>CMB_2_19</t>
  </si>
  <si>
    <t>CMB_2_23</t>
  </si>
  <si>
    <t>CMB_2_27</t>
  </si>
  <si>
    <t>CMB_2_33</t>
  </si>
  <si>
    <t>CMB_2_39</t>
  </si>
  <si>
    <t>DEE</t>
  </si>
  <si>
    <t>CSD</t>
  </si>
  <si>
    <t>CMB</t>
  </si>
  <si>
    <t>HIT</t>
  </si>
  <si>
    <t>HIO</t>
  </si>
  <si>
    <t>0.11</t>
  </si>
  <si>
    <t>0.15</t>
  </si>
  <si>
    <t>0.09 - 0.15</t>
  </si>
  <si>
    <t>0.08 - 0.58</t>
  </si>
  <si>
    <t>15.5</t>
  </si>
  <si>
    <t>GAU4845/1</t>
  </si>
  <si>
    <t>GAU4845/2</t>
  </si>
  <si>
    <t>GAU4845/3</t>
  </si>
  <si>
    <t>GAU4845/4</t>
  </si>
  <si>
    <t>GAU4845/5</t>
  </si>
  <si>
    <t>GAU4845/6</t>
  </si>
  <si>
    <t>GAU4845/7</t>
  </si>
  <si>
    <t>GAU4845/8</t>
  </si>
  <si>
    <t>GAU4845/9</t>
  </si>
  <si>
    <t>GAU4845/11</t>
  </si>
  <si>
    <t>GAU4845/12</t>
  </si>
  <si>
    <t>CSD_1_1</t>
  </si>
  <si>
    <t>CSD_1_3</t>
  </si>
  <si>
    <t>CSD_1_5</t>
  </si>
  <si>
    <t>CSD_1_9</t>
  </si>
  <si>
    <t>CSD_1_15</t>
  </si>
  <si>
    <t>CSD_1_19</t>
  </si>
  <si>
    <t>CSD_1_23</t>
  </si>
  <si>
    <t>CSD_1_27</t>
  </si>
  <si>
    <t>CSD_1_39</t>
  </si>
  <si>
    <t>CSD_1_75</t>
  </si>
  <si>
    <t>CSD_1_97</t>
  </si>
  <si>
    <t>Cadiz Salina Dolores</t>
  </si>
  <si>
    <t>Huelva Tinto River</t>
  </si>
  <si>
    <t>Huelva Saltes Island Ocean</t>
  </si>
  <si>
    <t>HIT_1_1</t>
  </si>
  <si>
    <t>HIT_1_3</t>
  </si>
  <si>
    <t>HIT_1_5</t>
  </si>
  <si>
    <t>HIT_1_9</t>
  </si>
  <si>
    <t>HIT_1_15b</t>
  </si>
  <si>
    <t>HIT_1_19</t>
  </si>
  <si>
    <t>HIT_1_23</t>
  </si>
  <si>
    <t>HIT_1_27</t>
  </si>
  <si>
    <t>HIT_1_39</t>
  </si>
  <si>
    <t>HIT_1_75</t>
  </si>
  <si>
    <t>HIT_1_97</t>
  </si>
  <si>
    <t>GAU4845/25</t>
  </si>
  <si>
    <t>GAU4845/26</t>
  </si>
  <si>
    <t>GAU4845/27</t>
  </si>
  <si>
    <t>GAU4845/28</t>
  </si>
  <si>
    <t>GAU4845/29</t>
  </si>
  <si>
    <t>GAU4845/30</t>
  </si>
  <si>
    <t>GAU4845/31</t>
  </si>
  <si>
    <t>GAU4845/32</t>
  </si>
  <si>
    <t>GAU4845/33</t>
  </si>
  <si>
    <t>GAU4845/35</t>
  </si>
  <si>
    <t>GAU4845/36</t>
  </si>
  <si>
    <t xml:space="preserve">~1939 </t>
  </si>
  <si>
    <t>~1952</t>
  </si>
  <si>
    <t>GAU4845/13</t>
  </si>
  <si>
    <t>GAU4845/14</t>
  </si>
  <si>
    <t>GAU4845/15</t>
  </si>
  <si>
    <t>GAU4845/16</t>
  </si>
  <si>
    <t>GAU4845/17</t>
  </si>
  <si>
    <t>GAU4845/18</t>
  </si>
  <si>
    <t>GAU4845/19</t>
  </si>
  <si>
    <t>GAU4845/20</t>
  </si>
  <si>
    <t>GAU4845/21</t>
  </si>
  <si>
    <t>GAU4845/23</t>
  </si>
  <si>
    <t>GAU4845/24</t>
  </si>
  <si>
    <t>HIO_1_1</t>
  </si>
  <si>
    <t>HIO_1_3</t>
  </si>
  <si>
    <t>HIO_1_5</t>
  </si>
  <si>
    <t>HIO_1_9</t>
  </si>
  <si>
    <t>HIO_1_15</t>
  </si>
  <si>
    <t>HIO_1_19</t>
  </si>
  <si>
    <t>HIO_1_23</t>
  </si>
  <si>
    <t>HIO_1_27</t>
  </si>
  <si>
    <t>HIO_1_39</t>
  </si>
  <si>
    <t>HIO_1_75</t>
  </si>
  <si>
    <t>HIO_1_97</t>
  </si>
  <si>
    <t>0.417 - 1.302</t>
  </si>
  <si>
    <t>Sample</t>
  </si>
  <si>
    <t>HIT_85</t>
  </si>
  <si>
    <t>HIO_85</t>
  </si>
  <si>
    <t>CMB_85</t>
  </si>
  <si>
    <t>CSD_85</t>
  </si>
  <si>
    <t>DEE_70</t>
  </si>
  <si>
    <t>Depth_cm</t>
  </si>
  <si>
    <t>Conventional_14C_BP</t>
  </si>
  <si>
    <t>Error_1sigma_14C_yr</t>
  </si>
  <si>
    <t>Calibration_curve</t>
  </si>
  <si>
    <t>Median_cal_BP</t>
  </si>
  <si>
    <t>Median_calendar</t>
  </si>
  <si>
    <t>HPD_68,3_percent_BC/AD</t>
  </si>
  <si>
    <t>HPD_95,4_percent_BC/AD</t>
  </si>
  <si>
    <t>intcal20</t>
  </si>
  <si>
    <t>873 BCE</t>
  </si>
  <si>
    <t>905BC-831BC (0,6905)</t>
  </si>
  <si>
    <t>975BC-954BC (0,0399) | 933BC-809BC (0,9152)</t>
  </si>
  <si>
    <t>1348 CE</t>
  </si>
  <si>
    <t>1323AD-1356AD (0,4897) | 1392AD-1406AD (0,2011)</t>
  </si>
  <si>
    <t>1305AD-1364AD (0,643) | 1383AD-1419AD (0,3124)</t>
  </si>
  <si>
    <t>1100 CE</t>
  </si>
  <si>
    <t>1036AD-1049AD (0,1173) | 1082AD-1134AD (0,4453) | 1137AD-1151AD (0,1233)</t>
  </si>
  <si>
    <t>1027AD-1159AD (0,9554)</t>
  </si>
  <si>
    <t>952 CE</t>
  </si>
  <si>
    <t>897AD-922AD (0,2654) | 952AD-992AD (0,4177)</t>
  </si>
  <si>
    <t>889AD-995AD (0,9023) | 1005AD-1018AD (0,0535)</t>
  </si>
  <si>
    <t>491 CE</t>
  </si>
  <si>
    <t>435AD-465AD (0,2494) | 475AD-501AD (0,2223) | 506AD-517AD (0,0814) | 529AD-547AD (0,148)</t>
  </si>
  <si>
    <t>424AD-564AD (0,9559)</t>
  </si>
  <si>
    <t>Depth at base</t>
  </si>
  <si>
    <t>~1357</t>
  </si>
  <si>
    <t>~1133</t>
  </si>
  <si>
    <t>~1884</t>
  </si>
  <si>
    <t>~1419</t>
  </si>
  <si>
    <t>~1812</t>
  </si>
  <si>
    <t>0.42</t>
  </si>
  <si>
    <t>0.3019 - 0.6850</t>
  </si>
  <si>
    <t xml:space="preserve">Extrapolated basal age assuming constant CF:CS SAR
</t>
  </si>
  <si>
    <t>0.1†</t>
  </si>
  <si>
    <t>† CF:CS estimate for STO and CSD are poorly constrained because the regression is based on only two unsupported 210Pb observations; the extrapolated basal age should therefore be interpreted with particular caution.</t>
  </si>
  <si>
    <t>~1135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</si>
</sst>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32">
    <border>
      <left/>
      <right/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0" borderId="5" xfId="0" applyFont="1" applyBorder="1"/>
    <xf numFmtId="0" fontId="0" fillId="0" borderId="6" xfId="0" applyBorder="1"/>
    <xf numFmtId="0" fontId="0" fillId="0" borderId="8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0" fillId="0" borderId="11" xfId="0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7" xfId="0" applyBorder="1"/>
    <xf numFmtId="0" fontId="1" fillId="0" borderId="18" xfId="0" applyFont="1" applyBorder="1"/>
    <xf numFmtId="0" fontId="1" fillId="0" borderId="19" xfId="0" applyFont="1" applyBorder="1"/>
    <xf numFmtId="0" fontId="0" fillId="0" borderId="20" xfId="0" applyBorder="1"/>
    <xf numFmtId="0" fontId="0" fillId="0" borderId="21" xfId="0" applyBorder="1"/>
    <xf numFmtId="0" fontId="1" fillId="0" borderId="16" xfId="0" applyFont="1" applyBorder="1" applyAlignment="1">
      <alignment horizontal="left"/>
    </xf>
    <xf numFmtId="0" fontId="1" fillId="0" borderId="22" xfId="0" applyFont="1" applyBorder="1" applyAlignment="1">
      <alignment horizontal="left"/>
    </xf>
    <xf numFmtId="164" fontId="0" fillId="0" borderId="23" xfId="0" applyNumberFormat="1" applyBorder="1" applyAlignment="1">
      <alignment horizontal="center"/>
    </xf>
    <xf numFmtId="0" fontId="1" fillId="0" borderId="24" xfId="0" applyFont="1" applyBorder="1"/>
    <xf numFmtId="0" fontId="0" fillId="0" borderId="25" xfId="0" applyBorder="1"/>
    <xf numFmtId="164" fontId="0" fillId="0" borderId="26" xfId="0" applyNumberFormat="1" applyBorder="1" applyAlignment="1">
      <alignment horizontal="center"/>
    </xf>
    <xf numFmtId="0" fontId="1" fillId="0" borderId="4" xfId="0" applyFont="1" applyBorder="1"/>
    <xf numFmtId="164" fontId="0" fillId="0" borderId="7" xfId="0" applyNumberFormat="1" applyBorder="1"/>
    <xf numFmtId="164" fontId="0" fillId="0" borderId="14" xfId="0" applyNumberFormat="1" applyBorder="1" applyAlignment="1">
      <alignment horizontal="center"/>
    </xf>
    <xf numFmtId="164" fontId="0" fillId="0" borderId="15" xfId="0" applyNumberFormat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3" xfId="0" applyBorder="1"/>
    <xf numFmtId="0" fontId="4" fillId="0" borderId="3" xfId="0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165" fontId="0" fillId="0" borderId="3" xfId="0" applyNumberFormat="1" applyBorder="1" applyAlignment="1">
      <alignment horizontal="center" vertical="center"/>
    </xf>
    <xf numFmtId="165" fontId="0" fillId="0" borderId="3" xfId="0" applyNumberFormat="1" applyBorder="1" applyAlignment="1">
      <alignment horizontal="center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0" xfId="0" applyBorder="1"/>
    <xf numFmtId="0" fontId="2" fillId="0" borderId="0" xfId="0" applyFont="1" applyFill="1" applyBorder="1" applyAlignment="1">
      <alignment horizontal="centerContinuous"/>
    </xf>
    <xf numFmtId="0" fontId="2" fillId="0" borderId="0" xfId="0" applyFont="1" applyFill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1" fillId="0" borderId="3" xfId="0" applyFont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1" fillId="0" borderId="3" xfId="0" applyFont="1" applyBorder="1"/>
    <xf numFmtId="0" fontId="0" fillId="0" borderId="0" xfId="0" applyFill="1" applyBorder="1" applyAlignment="1">
      <alignment horizontal="left"/>
    </xf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D8F8C"/>
      <color rgb="FF9A0000"/>
      <color rgb="FFB8B52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CCO!$C$1</c:f>
              <c:strCache>
                <c:ptCount val="1"/>
                <c:pt idx="0">
                  <c:v>Cicero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7716680242555881"/>
                  <c:y val="-0.123523692820248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CCO!$H$4:$H$23</c:f>
              <c:numCache>
                <c:formatCode>0.0000</c:formatCode>
                <c:ptCount val="20"/>
                <c:pt idx="0">
                  <c:v>-1.9379419794061363</c:v>
                </c:pt>
                <c:pt idx="1">
                  <c:v>-2.0874737133771002</c:v>
                </c:pt>
                <c:pt idx="2">
                  <c:v>-2.6036901857779675</c:v>
                </c:pt>
                <c:pt idx="3">
                  <c:v>-2.364460496712133</c:v>
                </c:pt>
                <c:pt idx="4">
                  <c:v>-3.0576076772720784</c:v>
                </c:pt>
                <c:pt idx="5">
                  <c:v>-3.2188758248682006</c:v>
                </c:pt>
                <c:pt idx="6">
                  <c:v>-2.9187712324178627</c:v>
                </c:pt>
                <c:pt idx="7">
                  <c:v>-3.6119184129778081</c:v>
                </c:pt>
                <c:pt idx="8">
                  <c:v>-3.9633162998156966</c:v>
                </c:pt>
                <c:pt idx="9">
                  <c:v>-3.5065578973199818</c:v>
                </c:pt>
                <c:pt idx="10">
                  <c:v>-4.4228486291941369</c:v>
                </c:pt>
              </c:numCache>
            </c:numRef>
          </c:xVal>
          <c:yVal>
            <c:numRef>
              <c:f>CCO!$D$4:$D$23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-4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-24</c:v>
                </c:pt>
                <c:pt idx="8">
                  <c:v>-28</c:v>
                </c:pt>
                <c:pt idx="9">
                  <c:v>-32</c:v>
                </c:pt>
                <c:pt idx="10">
                  <c:v>-38</c:v>
                </c:pt>
                <c:pt idx="11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89D-4F56-B2EE-24591D4A00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CCO!$C$1</c:f>
              <c:strCache>
                <c:ptCount val="1"/>
                <c:pt idx="0">
                  <c:v>Cicero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CCO!$E$4:$E$23</c:f>
              <c:numCache>
                <c:formatCode>0.000</c:formatCode>
                <c:ptCount val="20"/>
                <c:pt idx="0">
                  <c:v>0.16</c:v>
                </c:pt>
                <c:pt idx="1">
                  <c:v>0.14000000000000001</c:v>
                </c:pt>
                <c:pt idx="2">
                  <c:v>0.09</c:v>
                </c:pt>
                <c:pt idx="3">
                  <c:v>0.11</c:v>
                </c:pt>
                <c:pt idx="4">
                  <c:v>6.3E-2</c:v>
                </c:pt>
                <c:pt idx="5">
                  <c:v>5.6000000000000001E-2</c:v>
                </c:pt>
                <c:pt idx="6">
                  <c:v>7.0000000000000007E-2</c:v>
                </c:pt>
                <c:pt idx="7">
                  <c:v>4.2999999999999997E-2</c:v>
                </c:pt>
                <c:pt idx="8">
                  <c:v>3.5000000000000003E-2</c:v>
                </c:pt>
                <c:pt idx="9">
                  <c:v>4.5999999999999999E-2</c:v>
                </c:pt>
                <c:pt idx="10">
                  <c:v>2.8000000000000001E-2</c:v>
                </c:pt>
                <c:pt idx="11">
                  <c:v>1.6E-2</c:v>
                </c:pt>
              </c:numCache>
            </c:numRef>
          </c:xVal>
          <c:yVal>
            <c:numRef>
              <c:f>CCO!$D$4:$D$23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-4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-24</c:v>
                </c:pt>
                <c:pt idx="8">
                  <c:v>-28</c:v>
                </c:pt>
                <c:pt idx="9">
                  <c:v>-32</c:v>
                </c:pt>
                <c:pt idx="10">
                  <c:v>-38</c:v>
                </c:pt>
                <c:pt idx="11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54E-4922-9EF7-5C0CD8702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COL!$C$1</c:f>
              <c:strCache>
                <c:ptCount val="1"/>
                <c:pt idx="0">
                  <c:v>Colindres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7716680242555881"/>
                  <c:y val="-0.123523692820248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COL!$H$4:$H$23</c:f>
              <c:numCache>
                <c:formatCode>0.0000</c:formatCode>
                <c:ptCount val="20"/>
                <c:pt idx="0">
                  <c:v>-2.2537949288246137</c:v>
                </c:pt>
                <c:pt idx="1">
                  <c:v>-2.0794415416798357</c:v>
                </c:pt>
                <c:pt idx="2">
                  <c:v>-2.1628231506188871</c:v>
                </c:pt>
                <c:pt idx="3">
                  <c:v>-2.353878387381596</c:v>
                </c:pt>
                <c:pt idx="4">
                  <c:v>-2.353878387381596</c:v>
                </c:pt>
                <c:pt idx="5">
                  <c:v>-2.4651040224918206</c:v>
                </c:pt>
                <c:pt idx="6">
                  <c:v>-2.5902671654458267</c:v>
                </c:pt>
                <c:pt idx="7">
                  <c:v>-2.9004220937496661</c:v>
                </c:pt>
                <c:pt idx="8">
                  <c:v>-3.5404594489956631</c:v>
                </c:pt>
                <c:pt idx="9">
                  <c:v>-3.8632328412587142</c:v>
                </c:pt>
                <c:pt idx="10">
                  <c:v>-3.8167128256238212</c:v>
                </c:pt>
              </c:numCache>
            </c:numRef>
          </c:xVal>
          <c:yVal>
            <c:numRef>
              <c:f>COL!$D$4:$D$23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-21</c:v>
                </c:pt>
                <c:pt idx="7">
                  <c:v>-25</c:v>
                </c:pt>
                <c:pt idx="8">
                  <c:v>-29</c:v>
                </c:pt>
                <c:pt idx="9">
                  <c:v>-33</c:v>
                </c:pt>
                <c:pt idx="10">
                  <c:v>-39</c:v>
                </c:pt>
                <c:pt idx="11">
                  <c:v>-49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19-4129-B470-268A1EE656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COL!$C$1</c:f>
              <c:strCache>
                <c:ptCount val="1"/>
                <c:pt idx="0">
                  <c:v>Colindres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COL!$E$4:$E$23</c:f>
              <c:numCache>
                <c:formatCode>0.000</c:formatCode>
                <c:ptCount val="20"/>
                <c:pt idx="0">
                  <c:v>0.12</c:v>
                </c:pt>
                <c:pt idx="1">
                  <c:v>0.14000000000000001</c:v>
                </c:pt>
                <c:pt idx="2">
                  <c:v>0.13</c:v>
                </c:pt>
                <c:pt idx="3">
                  <c:v>0.11</c:v>
                </c:pt>
                <c:pt idx="4">
                  <c:v>0.11</c:v>
                </c:pt>
                <c:pt idx="5">
                  <c:v>0.1</c:v>
                </c:pt>
                <c:pt idx="6">
                  <c:v>0.09</c:v>
                </c:pt>
                <c:pt idx="7">
                  <c:v>7.0000000000000007E-2</c:v>
                </c:pt>
                <c:pt idx="8">
                  <c:v>4.3999999999999997E-2</c:v>
                </c:pt>
                <c:pt idx="9">
                  <c:v>3.5999999999999997E-2</c:v>
                </c:pt>
                <c:pt idx="10">
                  <c:v>3.6999999999999998E-2</c:v>
                </c:pt>
                <c:pt idx="11">
                  <c:v>1.4999999999999999E-2</c:v>
                </c:pt>
              </c:numCache>
            </c:numRef>
          </c:xVal>
          <c:yVal>
            <c:numRef>
              <c:f>COL!$D$4:$D$23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-21</c:v>
                </c:pt>
                <c:pt idx="7">
                  <c:v>-25</c:v>
                </c:pt>
                <c:pt idx="8">
                  <c:v>-29</c:v>
                </c:pt>
                <c:pt idx="9">
                  <c:v>-33</c:v>
                </c:pt>
                <c:pt idx="10">
                  <c:v>-39</c:v>
                </c:pt>
                <c:pt idx="11">
                  <c:v>-49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5C7-4F5C-8D18-B6D8B72D6A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STO!$C$1</c:f>
              <c:strCache>
                <c:ptCount val="1"/>
                <c:pt idx="0">
                  <c:v>Santona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47716680242555881"/>
                  <c:y val="-0.1235236928202485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plus>
            <c:min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STO!$H$4:$H$21</c:f>
              <c:numCache>
                <c:formatCode>0.0000</c:formatCode>
                <c:ptCount val="18"/>
                <c:pt idx="0">
                  <c:v>-2.7968814148088259</c:v>
                </c:pt>
                <c:pt idx="1">
                  <c:v>-5.8091429903140277</c:v>
                </c:pt>
              </c:numCache>
            </c:numRef>
          </c:xVal>
          <c:yVal>
            <c:numRef>
              <c:f>STO!$D$4:$D$21</c:f>
              <c:numCache>
                <c:formatCode>General</c:formatCode>
                <c:ptCount val="18"/>
                <c:pt idx="0">
                  <c:v>-1</c:v>
                </c:pt>
                <c:pt idx="1">
                  <c:v>-6</c:v>
                </c:pt>
                <c:pt idx="2">
                  <c:v>-10</c:v>
                </c:pt>
                <c:pt idx="3">
                  <c:v>-14</c:v>
                </c:pt>
                <c:pt idx="4">
                  <c:v>-18</c:v>
                </c:pt>
                <c:pt idx="5">
                  <c:v>-24</c:v>
                </c:pt>
                <c:pt idx="6">
                  <c:v>-30</c:v>
                </c:pt>
                <c:pt idx="7">
                  <c:v>-36</c:v>
                </c:pt>
                <c:pt idx="8">
                  <c:v>-42</c:v>
                </c:pt>
                <c:pt idx="9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4EE-4336-A46C-F1FD37798A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STO!$C$1</c:f>
              <c:strCache>
                <c:ptCount val="1"/>
                <c:pt idx="0">
                  <c:v>Santona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plus>
            <c:min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STO!$E$4:$E$21</c:f>
              <c:numCache>
                <c:formatCode>0.000</c:formatCode>
                <c:ptCount val="18"/>
                <c:pt idx="0">
                  <c:v>6.9000000000000006E-2</c:v>
                </c:pt>
                <c:pt idx="1">
                  <c:v>1.0999999999999999E-2</c:v>
                </c:pt>
                <c:pt idx="2">
                  <c:v>7.0000000000000001E-3</c:v>
                </c:pt>
                <c:pt idx="3">
                  <c:v>8.9999999999999993E-3</c:v>
                </c:pt>
                <c:pt idx="4">
                  <c:v>7.0000000000000001E-3</c:v>
                </c:pt>
                <c:pt idx="5">
                  <c:v>8.0000000000000002E-3</c:v>
                </c:pt>
                <c:pt idx="6">
                  <c:v>1.0999999999999999E-2</c:v>
                </c:pt>
                <c:pt idx="7">
                  <c:v>0.01</c:v>
                </c:pt>
                <c:pt idx="8">
                  <c:v>8.9999999999999993E-3</c:v>
                </c:pt>
                <c:pt idx="9">
                  <c:v>7.0000000000000001E-3</c:v>
                </c:pt>
              </c:numCache>
            </c:numRef>
          </c:xVal>
          <c:yVal>
            <c:numRef>
              <c:f>STO!$D$4:$D$21</c:f>
              <c:numCache>
                <c:formatCode>General</c:formatCode>
                <c:ptCount val="18"/>
                <c:pt idx="0">
                  <c:v>-1</c:v>
                </c:pt>
                <c:pt idx="1">
                  <c:v>-6</c:v>
                </c:pt>
                <c:pt idx="2">
                  <c:v>-10</c:v>
                </c:pt>
                <c:pt idx="3">
                  <c:v>-14</c:v>
                </c:pt>
                <c:pt idx="4">
                  <c:v>-18</c:v>
                </c:pt>
                <c:pt idx="5">
                  <c:v>-24</c:v>
                </c:pt>
                <c:pt idx="6">
                  <c:v>-30</c:v>
                </c:pt>
                <c:pt idx="7">
                  <c:v>-36</c:v>
                </c:pt>
                <c:pt idx="8">
                  <c:v>-42</c:v>
                </c:pt>
                <c:pt idx="9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2DE-4ACE-8C28-1D3AF5F08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DEE!$C$1</c:f>
              <c:strCache>
                <c:ptCount val="1"/>
                <c:pt idx="0">
                  <c:v>Ebro Delta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13403927957281"/>
                  <c:y val="-0.193382258947225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DEE!$H$4:$H$13</c:f>
              <c:numCache>
                <c:formatCode>0.0000</c:formatCode>
                <c:ptCount val="10"/>
                <c:pt idx="0">
                  <c:v>-2.4769384801388235</c:v>
                </c:pt>
                <c:pt idx="1">
                  <c:v>-2.4769384801388235</c:v>
                </c:pt>
                <c:pt idx="2">
                  <c:v>-2.2633643798407643</c:v>
                </c:pt>
                <c:pt idx="3">
                  <c:v>-2.7488721956224653</c:v>
                </c:pt>
                <c:pt idx="4">
                  <c:v>-2.9187712324178627</c:v>
                </c:pt>
                <c:pt idx="5">
                  <c:v>-3.2188758248682006</c:v>
                </c:pt>
                <c:pt idx="6">
                  <c:v>-3.8167128256238212</c:v>
                </c:pt>
                <c:pt idx="7">
                  <c:v>-4.3428059215206005</c:v>
                </c:pt>
                <c:pt idx="8">
                  <c:v>-4.9618451299268234</c:v>
                </c:pt>
                <c:pt idx="9">
                  <c:v>-6.9077552789821359</c:v>
                </c:pt>
              </c:numCache>
            </c:numRef>
          </c:xVal>
          <c:yVal>
            <c:numRef>
              <c:f>DEE!$D$4:$D$13</c:f>
              <c:numCache>
                <c:formatCode>General</c:formatCode>
                <c:ptCount val="1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-7</c:v>
                </c:pt>
                <c:pt idx="6">
                  <c:v>-9</c:v>
                </c:pt>
                <c:pt idx="7">
                  <c:v>-11</c:v>
                </c:pt>
                <c:pt idx="8">
                  <c:v>-13</c:v>
                </c:pt>
                <c:pt idx="9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F40-429F-A276-CEBE567C6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DEE!$C$1</c:f>
              <c:strCache>
                <c:ptCount val="1"/>
                <c:pt idx="0">
                  <c:v>Ebro Delta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DEE!$E$4:$E$23</c:f>
              <c:numCache>
                <c:formatCode>0.000</c:formatCode>
                <c:ptCount val="20"/>
                <c:pt idx="0">
                  <c:v>0.11</c:v>
                </c:pt>
                <c:pt idx="1">
                  <c:v>0.11</c:v>
                </c:pt>
                <c:pt idx="2">
                  <c:v>0.13</c:v>
                </c:pt>
                <c:pt idx="3">
                  <c:v>0.09</c:v>
                </c:pt>
                <c:pt idx="4">
                  <c:v>0.08</c:v>
                </c:pt>
                <c:pt idx="5">
                  <c:v>6.6000000000000003E-2</c:v>
                </c:pt>
                <c:pt idx="6">
                  <c:v>4.8000000000000001E-2</c:v>
                </c:pt>
                <c:pt idx="7">
                  <c:v>3.9E-2</c:v>
                </c:pt>
                <c:pt idx="8">
                  <c:v>3.3000000000000002E-2</c:v>
                </c:pt>
                <c:pt idx="9">
                  <c:v>2.7E-2</c:v>
                </c:pt>
                <c:pt idx="10">
                  <c:v>2.5999999999999999E-2</c:v>
                </c:pt>
                <c:pt idx="11">
                  <c:v>2.5999999999999999E-2</c:v>
                </c:pt>
              </c:numCache>
            </c:numRef>
          </c:xVal>
          <c:yVal>
            <c:numRef>
              <c:f>DEE!$D$4:$D$23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-7</c:v>
                </c:pt>
                <c:pt idx="6">
                  <c:v>-9</c:v>
                </c:pt>
                <c:pt idx="7">
                  <c:v>-11</c:v>
                </c:pt>
                <c:pt idx="8">
                  <c:v>-13</c:v>
                </c:pt>
                <c:pt idx="9">
                  <c:v>-15</c:v>
                </c:pt>
                <c:pt idx="10">
                  <c:v>-20</c:v>
                </c:pt>
                <c:pt idx="11">
                  <c:v>-30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1B-49EC-8E4A-35093A828C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CMB!$C$1</c:f>
              <c:strCache>
                <c:ptCount val="1"/>
                <c:pt idx="0">
                  <c:v>Cadiz Militar Base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13403927957281"/>
                  <c:y val="-0.193382258947225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CMB!$H$4:$H$8</c:f>
              <c:numCache>
                <c:formatCode>0.0000</c:formatCode>
                <c:ptCount val="5"/>
                <c:pt idx="0">
                  <c:v>-3.6727104019865577</c:v>
                </c:pt>
                <c:pt idx="1">
                  <c:v>-3.3324416998322444</c:v>
                </c:pt>
                <c:pt idx="2">
                  <c:v>-4.5743916065689243</c:v>
                </c:pt>
                <c:pt idx="3">
                  <c:v>-4.4117475389300917</c:v>
                </c:pt>
                <c:pt idx="4">
                  <c:v>-6.5900273172363732</c:v>
                </c:pt>
              </c:numCache>
            </c:numRef>
          </c:xVal>
          <c:yVal>
            <c:numRef>
              <c:f>CMB!$D$4:$D$8</c:f>
              <c:numCache>
                <c:formatCode>General</c:formatCode>
                <c:ptCount val="5"/>
                <c:pt idx="0">
                  <c:v>-1.5</c:v>
                </c:pt>
                <c:pt idx="1">
                  <c:v>-3.5</c:v>
                </c:pt>
                <c:pt idx="2">
                  <c:v>-5.5</c:v>
                </c:pt>
                <c:pt idx="3">
                  <c:v>-9.5</c:v>
                </c:pt>
                <c:pt idx="4">
                  <c:v>-15.5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AAB-4E51-962C-2947C2DB5A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DEE!$C$1</c:f>
              <c:strCache>
                <c:ptCount val="1"/>
                <c:pt idx="0">
                  <c:v>Ebro Delta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CMB!$E$4:$E$23</c:f>
              <c:numCache>
                <c:formatCode>0.000</c:formatCode>
                <c:ptCount val="20"/>
                <c:pt idx="0">
                  <c:v>6.4200616301366392E-2</c:v>
                </c:pt>
                <c:pt idx="1">
                  <c:v>7.449891999495023E-2</c:v>
                </c:pt>
                <c:pt idx="2">
                  <c:v>4.9105675705806373E-2</c:v>
                </c:pt>
                <c:pt idx="3">
                  <c:v>5.0927059567377281E-2</c:v>
                </c:pt>
                <c:pt idx="4">
                  <c:v>4.0167106764459552E-2</c:v>
                </c:pt>
                <c:pt idx="5">
                  <c:v>3.8431538232805297E-2</c:v>
                </c:pt>
                <c:pt idx="6">
                  <c:v>3.8632406489259828E-2</c:v>
                </c:pt>
                <c:pt idx="7">
                  <c:v>4.2878052277780077E-2</c:v>
                </c:pt>
                <c:pt idx="8">
                  <c:v>3.509831292422174E-2</c:v>
                </c:pt>
                <c:pt idx="9">
                  <c:v>3.8925211752433755E-2</c:v>
                </c:pt>
              </c:numCache>
            </c:numRef>
          </c:xVal>
          <c:yVal>
            <c:numRef>
              <c:f>CMB!$D$4:$D$23</c:f>
              <c:numCache>
                <c:formatCode>General</c:formatCode>
                <c:ptCount val="20"/>
                <c:pt idx="0">
                  <c:v>-1.5</c:v>
                </c:pt>
                <c:pt idx="1">
                  <c:v>-3.5</c:v>
                </c:pt>
                <c:pt idx="2">
                  <c:v>-5.5</c:v>
                </c:pt>
                <c:pt idx="3">
                  <c:v>-9.5</c:v>
                </c:pt>
                <c:pt idx="4">
                  <c:v>-15.5</c:v>
                </c:pt>
                <c:pt idx="5">
                  <c:v>-19.5</c:v>
                </c:pt>
                <c:pt idx="6">
                  <c:v>-23.5</c:v>
                </c:pt>
                <c:pt idx="7">
                  <c:v>-27.5</c:v>
                </c:pt>
                <c:pt idx="8">
                  <c:v>-33.5</c:v>
                </c:pt>
                <c:pt idx="9">
                  <c:v>-39.5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780-4120-877E-D3C8F33E0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CSD!$C$1</c:f>
              <c:strCache>
                <c:ptCount val="1"/>
                <c:pt idx="0">
                  <c:v>Cadiz Salina Dolores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13403927957281"/>
                  <c:y val="-0.193382258947225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CSD!$H$4:$H$14</c:f>
              <c:numCache>
                <c:formatCode>0.0000</c:formatCode>
                <c:ptCount val="11"/>
                <c:pt idx="0">
                  <c:v>-4.5756113837465469</c:v>
                </c:pt>
                <c:pt idx="1">
                  <c:v>-5.7138328105097029</c:v>
                </c:pt>
              </c:numCache>
            </c:numRef>
          </c:xVal>
          <c:yVal>
            <c:numRef>
              <c:f>CSD!$D$4:$D$14</c:f>
              <c:numCache>
                <c:formatCode>0.00</c:formatCode>
                <c:ptCount val="11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069-43D0-BF8B-C4E56C0847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CSD!$C$1</c:f>
              <c:strCache>
                <c:ptCount val="1"/>
                <c:pt idx="0">
                  <c:v>Cadiz Salina Dolores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CSD!$E$4:$E$22</c:f>
              <c:numCache>
                <c:formatCode>General</c:formatCode>
                <c:ptCount val="19"/>
                <c:pt idx="0">
                  <c:v>1.6E-2</c:v>
                </c:pt>
                <c:pt idx="1">
                  <c:v>8.9999999999999993E-3</c:v>
                </c:pt>
                <c:pt idx="2">
                  <c:v>1.1999999999999999E-3</c:v>
                </c:pt>
                <c:pt idx="3">
                  <c:v>1.6999999999999999E-3</c:v>
                </c:pt>
                <c:pt idx="4">
                  <c:v>2.8E-3</c:v>
                </c:pt>
                <c:pt idx="5">
                  <c:v>3.0999999999999999E-3</c:v>
                </c:pt>
                <c:pt idx="6">
                  <c:v>2E-3</c:v>
                </c:pt>
                <c:pt idx="7">
                  <c:v>3.5999999999999999E-3</c:v>
                </c:pt>
                <c:pt idx="8">
                  <c:v>4.1000000000000003E-3</c:v>
                </c:pt>
                <c:pt idx="9">
                  <c:v>1.2999999999999999E-3</c:v>
                </c:pt>
                <c:pt idx="10">
                  <c:v>5.7000000000000002E-3</c:v>
                </c:pt>
              </c:numCache>
            </c:numRef>
          </c:xVal>
          <c:yVal>
            <c:numRef>
              <c:f>CSD!$D$4:$D$22</c:f>
              <c:numCache>
                <c:formatCode>0.00</c:formatCode>
                <c:ptCount val="19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3D-4608-AAF3-27DEB4477A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HIT!$C$1</c:f>
              <c:strCache>
                <c:ptCount val="1"/>
                <c:pt idx="0">
                  <c:v>Huelva Tinto River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13403927957281"/>
                  <c:y val="-0.193382258947225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HIT!$H$4:$H$13</c:f>
              <c:numCache>
                <c:formatCode>0.0000</c:formatCode>
                <c:ptCount val="10"/>
                <c:pt idx="0">
                  <c:v>-2.7457520682862215</c:v>
                </c:pt>
                <c:pt idx="1">
                  <c:v>-2.7936080894638566</c:v>
                </c:pt>
                <c:pt idx="2">
                  <c:v>-2.761450977829325</c:v>
                </c:pt>
                <c:pt idx="3">
                  <c:v>-2.2614431496628704</c:v>
                </c:pt>
                <c:pt idx="4">
                  <c:v>-2.7774002792370034</c:v>
                </c:pt>
                <c:pt idx="5">
                  <c:v>-4.0063336848993876</c:v>
                </c:pt>
                <c:pt idx="6">
                  <c:v>-3.9020726745749781</c:v>
                </c:pt>
                <c:pt idx="7">
                  <c:v>-4.1227440367437991</c:v>
                </c:pt>
                <c:pt idx="8">
                  <c:v>-5.4726707536928139</c:v>
                </c:pt>
                <c:pt idx="9">
                  <c:v>-6.1192979186178666</c:v>
                </c:pt>
              </c:numCache>
            </c:numRef>
          </c:xVal>
          <c:yVal>
            <c:numRef>
              <c:f>HIT!$D$4:$D$14</c:f>
              <c:numCache>
                <c:formatCode>General</c:formatCode>
                <c:ptCount val="11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7BE-4C98-88D4-874AB31A81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HIT!$C$1</c:f>
              <c:strCache>
                <c:ptCount val="1"/>
                <c:pt idx="0">
                  <c:v>Huelva Tinto River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HIT!$E$4:$E$23</c:f>
              <c:numCache>
                <c:formatCode>General</c:formatCode>
                <c:ptCount val="20"/>
                <c:pt idx="0">
                  <c:v>7.0000000000000007E-2</c:v>
                </c:pt>
                <c:pt idx="1">
                  <c:v>6.7000000000000004E-2</c:v>
                </c:pt>
                <c:pt idx="2">
                  <c:v>6.9000000000000006E-2</c:v>
                </c:pt>
                <c:pt idx="3">
                  <c:v>0.11</c:v>
                </c:pt>
                <c:pt idx="4">
                  <c:v>6.8000000000000005E-2</c:v>
                </c:pt>
                <c:pt idx="5">
                  <c:v>2.4E-2</c:v>
                </c:pt>
                <c:pt idx="6">
                  <c:v>2.5999999999999999E-2</c:v>
                </c:pt>
                <c:pt idx="7">
                  <c:v>2.1999999999999999E-2</c:v>
                </c:pt>
                <c:pt idx="8">
                  <c:v>0.01</c:v>
                </c:pt>
                <c:pt idx="9">
                  <c:v>8.0000000000000002E-3</c:v>
                </c:pt>
                <c:pt idx="10">
                  <c:v>5.7999999999999996E-3</c:v>
                </c:pt>
              </c:numCache>
            </c:numRef>
          </c:xVal>
          <c:yVal>
            <c:numRef>
              <c:f>HIT!$D$4:$D$23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D8-4B6D-8F03-DDB89505A0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HIO!$C$1</c:f>
              <c:strCache>
                <c:ptCount val="1"/>
                <c:pt idx="0">
                  <c:v>Huelva Saltes Island Ocean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13403927957281"/>
                  <c:y val="-0.1933822589472254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HIO!$H$4:$H$13</c:f>
              <c:numCache>
                <c:formatCode>0.0000</c:formatCode>
                <c:ptCount val="10"/>
                <c:pt idx="0">
                  <c:v>-2.9187712324178627</c:v>
                </c:pt>
                <c:pt idx="1">
                  <c:v>-3.4112477175156566</c:v>
                </c:pt>
                <c:pt idx="2">
                  <c:v>-3.3242363405260273</c:v>
                </c:pt>
                <c:pt idx="3">
                  <c:v>-3.473768074496991</c:v>
                </c:pt>
                <c:pt idx="4">
                  <c:v>-3.575550768806933</c:v>
                </c:pt>
                <c:pt idx="5">
                  <c:v>-3.8167128256238212</c:v>
                </c:pt>
                <c:pt idx="6">
                  <c:v>-3.912023005428146</c:v>
                </c:pt>
                <c:pt idx="7">
                  <c:v>-3.6888794541139363</c:v>
                </c:pt>
                <c:pt idx="8">
                  <c:v>-3.912023005428146</c:v>
                </c:pt>
                <c:pt idx="9">
                  <c:v>-6.2146080984221914</c:v>
                </c:pt>
              </c:numCache>
            </c:numRef>
          </c:xVal>
          <c:yVal>
            <c:numRef>
              <c:f>HIO!$D$4:$D$14</c:f>
              <c:numCache>
                <c:formatCode>General</c:formatCode>
                <c:ptCount val="11"/>
                <c:pt idx="0">
                  <c:v>-11</c:v>
                </c:pt>
                <c:pt idx="1">
                  <c:v>-23</c:v>
                </c:pt>
                <c:pt idx="2">
                  <c:v>-27</c:v>
                </c:pt>
                <c:pt idx="3">
                  <c:v>-31</c:v>
                </c:pt>
                <c:pt idx="4">
                  <c:v>-35</c:v>
                </c:pt>
                <c:pt idx="5">
                  <c:v>-41</c:v>
                </c:pt>
                <c:pt idx="6">
                  <c:v>-45</c:v>
                </c:pt>
                <c:pt idx="7">
                  <c:v>-47</c:v>
                </c:pt>
                <c:pt idx="8">
                  <c:v>-49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50-4D7E-8300-9106AD074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HIO!$C$1</c:f>
              <c:strCache>
                <c:ptCount val="1"/>
                <c:pt idx="0">
                  <c:v>Huelva Saltes Island Ocean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HIO!$E$4:$E$23</c:f>
              <c:numCache>
                <c:formatCode>General</c:formatCode>
                <c:ptCount val="20"/>
                <c:pt idx="0">
                  <c:v>6.2E-2</c:v>
                </c:pt>
                <c:pt idx="1">
                  <c:v>4.1000000000000002E-2</c:v>
                </c:pt>
                <c:pt idx="2">
                  <c:v>4.3999999999999997E-2</c:v>
                </c:pt>
                <c:pt idx="3">
                  <c:v>3.9E-2</c:v>
                </c:pt>
                <c:pt idx="4">
                  <c:v>3.5999999999999997E-2</c:v>
                </c:pt>
                <c:pt idx="5">
                  <c:v>0.03</c:v>
                </c:pt>
                <c:pt idx="6">
                  <c:v>2.8000000000000001E-2</c:v>
                </c:pt>
                <c:pt idx="7">
                  <c:v>3.3000000000000002E-2</c:v>
                </c:pt>
                <c:pt idx="8">
                  <c:v>2.8000000000000001E-2</c:v>
                </c:pt>
                <c:pt idx="9">
                  <c:v>0.01</c:v>
                </c:pt>
                <c:pt idx="10">
                  <c:v>8.0000000000000002E-3</c:v>
                </c:pt>
              </c:numCache>
            </c:numRef>
          </c:xVal>
          <c:yVal>
            <c:numRef>
              <c:f>HIO!$D$4:$D$23</c:f>
              <c:numCache>
                <c:formatCode>General</c:formatCode>
                <c:ptCount val="20"/>
                <c:pt idx="0">
                  <c:v>-11</c:v>
                </c:pt>
                <c:pt idx="1">
                  <c:v>-23</c:v>
                </c:pt>
                <c:pt idx="2">
                  <c:v>-27</c:v>
                </c:pt>
                <c:pt idx="3">
                  <c:v>-31</c:v>
                </c:pt>
                <c:pt idx="4">
                  <c:v>-35</c:v>
                </c:pt>
                <c:pt idx="5">
                  <c:v>-41</c:v>
                </c:pt>
                <c:pt idx="6">
                  <c:v>-45</c:v>
                </c:pt>
                <c:pt idx="7">
                  <c:v>-47</c:v>
                </c:pt>
                <c:pt idx="8">
                  <c:v>-49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1F-4CBC-9FA4-75CA391A8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CCO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CCO!$C$1</c:f>
              <c:strCache>
                <c:ptCount val="1"/>
                <c:pt idx="0">
                  <c:v>Cicero</c:v>
                </c:pt>
              </c:strCache>
            </c:strRef>
          </c:tx>
          <c:spPr>
            <a:ln w="19050" cap="rnd">
              <a:solidFill>
                <a:srgbClr val="9A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A0000"/>
              </a:solidFill>
              <a:ln w="19050">
                <a:solidFill>
                  <a:srgbClr val="9A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6644981446284732"/>
                  <c:y val="0.1629645386671140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CCO!$H$4:$H$23</c:f>
              <c:numCache>
                <c:formatCode>0.0000</c:formatCode>
                <c:ptCount val="20"/>
                <c:pt idx="0">
                  <c:v>-1.9379419794061363</c:v>
                </c:pt>
                <c:pt idx="1">
                  <c:v>-2.0874737133771002</c:v>
                </c:pt>
                <c:pt idx="2">
                  <c:v>-2.6036901857779675</c:v>
                </c:pt>
                <c:pt idx="3">
                  <c:v>-2.364460496712133</c:v>
                </c:pt>
                <c:pt idx="4">
                  <c:v>-3.0576076772720784</c:v>
                </c:pt>
                <c:pt idx="5">
                  <c:v>-3.2188758248682006</c:v>
                </c:pt>
                <c:pt idx="6">
                  <c:v>-2.9187712324178627</c:v>
                </c:pt>
                <c:pt idx="7">
                  <c:v>-3.6119184129778081</c:v>
                </c:pt>
                <c:pt idx="8">
                  <c:v>-3.9633162998156966</c:v>
                </c:pt>
                <c:pt idx="9">
                  <c:v>-3.5065578973199818</c:v>
                </c:pt>
                <c:pt idx="10">
                  <c:v>-4.4228486291941369</c:v>
                </c:pt>
              </c:numCache>
            </c:numRef>
          </c:xVal>
          <c:yVal>
            <c:numRef>
              <c:f>CCO!$D$4:$D$23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-4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-24</c:v>
                </c:pt>
                <c:pt idx="8">
                  <c:v>-28</c:v>
                </c:pt>
                <c:pt idx="9">
                  <c:v>-32</c:v>
                </c:pt>
                <c:pt idx="10">
                  <c:v>-38</c:v>
                </c:pt>
                <c:pt idx="11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BA5-4CEA-A74E-B6409BA24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t" anchorCtr="0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CCO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CCO!$C$1</c:f>
              <c:strCache>
                <c:ptCount val="1"/>
                <c:pt idx="0">
                  <c:v>Cicero</c:v>
                </c:pt>
              </c:strCache>
            </c:strRef>
          </c:tx>
          <c:spPr>
            <a:ln w="19050" cap="rnd">
              <a:solidFill>
                <a:srgbClr val="9A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A0000"/>
              </a:solidFill>
              <a:ln w="19050">
                <a:solidFill>
                  <a:srgbClr val="9A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CCO!$F$4:$F$23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1.0000000000000002E-2</c:v>
                  </c:pt>
                  <c:pt idx="3">
                    <c:v>2.0000000000000004E-2</c:v>
                  </c:pt>
                  <c:pt idx="4">
                    <c:v>8.0000000000000002E-3</c:v>
                  </c:pt>
                  <c:pt idx="5">
                    <c:v>6.9999999999999993E-3</c:v>
                  </c:pt>
                  <c:pt idx="6">
                    <c:v>9.0000000000000011E-3</c:v>
                  </c:pt>
                  <c:pt idx="7">
                    <c:v>6.0000000000000001E-3</c:v>
                  </c:pt>
                  <c:pt idx="8">
                    <c:v>5.0000000000000001E-3</c:v>
                  </c:pt>
                  <c:pt idx="9">
                    <c:v>6.0000000000000001E-3</c:v>
                  </c:pt>
                  <c:pt idx="10">
                    <c:v>4.0000000000000001E-3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CCO!$E$4:$E$23</c:f>
              <c:numCache>
                <c:formatCode>0.000</c:formatCode>
                <c:ptCount val="20"/>
                <c:pt idx="0">
                  <c:v>0.16</c:v>
                </c:pt>
                <c:pt idx="1">
                  <c:v>0.14000000000000001</c:v>
                </c:pt>
                <c:pt idx="2">
                  <c:v>0.09</c:v>
                </c:pt>
                <c:pt idx="3">
                  <c:v>0.11</c:v>
                </c:pt>
                <c:pt idx="4">
                  <c:v>6.3E-2</c:v>
                </c:pt>
                <c:pt idx="5">
                  <c:v>5.6000000000000001E-2</c:v>
                </c:pt>
                <c:pt idx="6">
                  <c:v>7.0000000000000007E-2</c:v>
                </c:pt>
                <c:pt idx="7">
                  <c:v>4.2999999999999997E-2</c:v>
                </c:pt>
                <c:pt idx="8">
                  <c:v>3.5000000000000003E-2</c:v>
                </c:pt>
                <c:pt idx="9">
                  <c:v>4.5999999999999999E-2</c:v>
                </c:pt>
                <c:pt idx="10">
                  <c:v>2.8000000000000001E-2</c:v>
                </c:pt>
                <c:pt idx="11">
                  <c:v>1.6E-2</c:v>
                </c:pt>
              </c:numCache>
            </c:numRef>
          </c:xVal>
          <c:yVal>
            <c:numRef>
              <c:f>CCO!$D$4:$D$23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-4</c:v>
                </c:pt>
                <c:pt idx="3">
                  <c:v>-8</c:v>
                </c:pt>
                <c:pt idx="4">
                  <c:v>-12</c:v>
                </c:pt>
                <c:pt idx="5">
                  <c:v>-16</c:v>
                </c:pt>
                <c:pt idx="6">
                  <c:v>-20</c:v>
                </c:pt>
                <c:pt idx="7">
                  <c:v>-24</c:v>
                </c:pt>
                <c:pt idx="8">
                  <c:v>-28</c:v>
                </c:pt>
                <c:pt idx="9">
                  <c:v>-32</c:v>
                </c:pt>
                <c:pt idx="10">
                  <c:v>-38</c:v>
                </c:pt>
                <c:pt idx="11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1A-43FF-A461-7FDCB015E8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STO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STO!$C$1</c:f>
              <c:strCache>
                <c:ptCount val="1"/>
                <c:pt idx="0">
                  <c:v>Santona</c:v>
                </c:pt>
              </c:strCache>
            </c:strRef>
          </c:tx>
          <c:spPr>
            <a:ln w="19050" cap="rnd">
              <a:solidFill>
                <a:srgbClr val="B8B52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B52D"/>
              </a:solidFill>
              <a:ln w="19050">
                <a:solidFill>
                  <a:srgbClr val="B8B52D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072725284339458"/>
                  <c:y val="3.255711615428747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plus>
            <c:min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STO!$H$4:$H$21</c:f>
              <c:numCache>
                <c:formatCode>0.0000</c:formatCode>
                <c:ptCount val="18"/>
                <c:pt idx="0">
                  <c:v>-2.7968814148088259</c:v>
                </c:pt>
                <c:pt idx="1">
                  <c:v>-5.8091429903140277</c:v>
                </c:pt>
              </c:numCache>
            </c:numRef>
          </c:xVal>
          <c:yVal>
            <c:numRef>
              <c:f>STO!$D$4:$D$21</c:f>
              <c:numCache>
                <c:formatCode>General</c:formatCode>
                <c:ptCount val="18"/>
                <c:pt idx="0">
                  <c:v>-1</c:v>
                </c:pt>
                <c:pt idx="1">
                  <c:v>-6</c:v>
                </c:pt>
                <c:pt idx="2">
                  <c:v>-10</c:v>
                </c:pt>
                <c:pt idx="3">
                  <c:v>-14</c:v>
                </c:pt>
                <c:pt idx="4">
                  <c:v>-18</c:v>
                </c:pt>
                <c:pt idx="5">
                  <c:v>-24</c:v>
                </c:pt>
                <c:pt idx="6">
                  <c:v>-30</c:v>
                </c:pt>
                <c:pt idx="7">
                  <c:v>-36</c:v>
                </c:pt>
                <c:pt idx="8">
                  <c:v>-42</c:v>
                </c:pt>
                <c:pt idx="9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8AE-49BF-A002-DA6B58798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32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STO</a:t>
            </a:r>
          </a:p>
          <a:p>
            <a:pPr>
              <a:defRPr/>
            </a:pPr>
            <a:r>
              <a:rPr lang="es-ES" sz="1000" b="0" i="0" u="none" strike="noStrike" baseline="30000"/>
              <a:t>210</a:t>
            </a:r>
            <a:r>
              <a:rPr lang="es-ES" sz="1000" b="0" i="0" u="none" strike="noStrike" baseline="0"/>
              <a:t>Pb</a:t>
            </a:r>
            <a:r>
              <a:rPr lang="es-ES" sz="1000" b="0" i="0" u="none" strike="noStrike" baseline="-25000"/>
              <a:t>ex</a:t>
            </a:r>
            <a:r>
              <a:rPr lang="es-ES" sz="1000" b="0" i="0" u="none" strike="noStrike" baseline="0"/>
              <a:t>​</a:t>
            </a:r>
            <a:endParaRPr lang="en-US" sz="10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32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STO!$C$1</c:f>
              <c:strCache>
                <c:ptCount val="1"/>
                <c:pt idx="0">
                  <c:v>Santona</c:v>
                </c:pt>
              </c:strCache>
            </c:strRef>
          </c:tx>
          <c:spPr>
            <a:ln w="19050" cap="rnd">
              <a:solidFill>
                <a:srgbClr val="B8B52D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B8B52D"/>
              </a:solidFill>
              <a:ln w="41275">
                <a:solidFill>
                  <a:srgbClr val="B8B52D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plus>
            <c:minus>
              <c:numRef>
                <c:f>STO!$F$4:$F$21</c:f>
                <c:numCache>
                  <c:formatCode>General</c:formatCode>
                  <c:ptCount val="18"/>
                  <c:pt idx="0">
                    <c:v>8.9999999999999993E-3</c:v>
                  </c:pt>
                  <c:pt idx="1">
                    <c:v>2E-3</c:v>
                  </c:pt>
                  <c:pt idx="2">
                    <c:v>1E-3</c:v>
                  </c:pt>
                  <c:pt idx="3">
                    <c:v>1E-3</c:v>
                  </c:pt>
                  <c:pt idx="4">
                    <c:v>1E-3</c:v>
                  </c:pt>
                  <c:pt idx="5">
                    <c:v>1E-3</c:v>
                  </c:pt>
                  <c:pt idx="6">
                    <c:v>2E-3</c:v>
                  </c:pt>
                  <c:pt idx="7">
                    <c:v>1E-3</c:v>
                  </c:pt>
                  <c:pt idx="8">
                    <c:v>1E-3</c:v>
                  </c:pt>
                  <c:pt idx="9">
                    <c:v>1E-3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STO!$E$4:$E$21</c:f>
              <c:numCache>
                <c:formatCode>0.000</c:formatCode>
                <c:ptCount val="18"/>
                <c:pt idx="0">
                  <c:v>6.9000000000000006E-2</c:v>
                </c:pt>
                <c:pt idx="1">
                  <c:v>1.0999999999999999E-2</c:v>
                </c:pt>
                <c:pt idx="2">
                  <c:v>7.0000000000000001E-3</c:v>
                </c:pt>
                <c:pt idx="3">
                  <c:v>8.9999999999999993E-3</c:v>
                </c:pt>
                <c:pt idx="4">
                  <c:v>7.0000000000000001E-3</c:v>
                </c:pt>
                <c:pt idx="5">
                  <c:v>8.0000000000000002E-3</c:v>
                </c:pt>
                <c:pt idx="6">
                  <c:v>1.0999999999999999E-2</c:v>
                </c:pt>
                <c:pt idx="7">
                  <c:v>0.01</c:v>
                </c:pt>
                <c:pt idx="8">
                  <c:v>8.9999999999999993E-3</c:v>
                </c:pt>
                <c:pt idx="9">
                  <c:v>7.0000000000000001E-3</c:v>
                </c:pt>
              </c:numCache>
            </c:numRef>
          </c:xVal>
          <c:yVal>
            <c:numRef>
              <c:f>STO!$D$4:$D$21</c:f>
              <c:numCache>
                <c:formatCode>General</c:formatCode>
                <c:ptCount val="18"/>
                <c:pt idx="0">
                  <c:v>-1</c:v>
                </c:pt>
                <c:pt idx="1">
                  <c:v>-6</c:v>
                </c:pt>
                <c:pt idx="2">
                  <c:v>-10</c:v>
                </c:pt>
                <c:pt idx="3">
                  <c:v>-14</c:v>
                </c:pt>
                <c:pt idx="4">
                  <c:v>-18</c:v>
                </c:pt>
                <c:pt idx="5">
                  <c:v>-24</c:v>
                </c:pt>
                <c:pt idx="6">
                  <c:v>-30</c:v>
                </c:pt>
                <c:pt idx="7">
                  <c:v>-36</c:v>
                </c:pt>
                <c:pt idx="8">
                  <c:v>-42</c:v>
                </c:pt>
                <c:pt idx="9">
                  <c:v>-48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21-4662-8D02-16454EE7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 (cm)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COL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COL!$C$1</c:f>
              <c:strCache>
                <c:ptCount val="1"/>
                <c:pt idx="0">
                  <c:v>Colindres</c:v>
                </c:pt>
              </c:strCache>
            </c:strRef>
          </c:tx>
          <c:spPr>
            <a:ln w="19050" cap="rnd">
              <a:solidFill>
                <a:srgbClr val="1D8F8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D8F8C"/>
              </a:solidFill>
              <a:ln w="19050">
                <a:solidFill>
                  <a:srgbClr val="1D8F8C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COL!$H$4:$H$23</c:f>
              <c:numCache>
                <c:formatCode>0.0000</c:formatCode>
                <c:ptCount val="20"/>
                <c:pt idx="0">
                  <c:v>-2.2537949288246137</c:v>
                </c:pt>
                <c:pt idx="1">
                  <c:v>-2.0794415416798357</c:v>
                </c:pt>
                <c:pt idx="2">
                  <c:v>-2.1628231506188871</c:v>
                </c:pt>
                <c:pt idx="3">
                  <c:v>-2.353878387381596</c:v>
                </c:pt>
                <c:pt idx="4">
                  <c:v>-2.353878387381596</c:v>
                </c:pt>
                <c:pt idx="5">
                  <c:v>-2.4651040224918206</c:v>
                </c:pt>
                <c:pt idx="6">
                  <c:v>-2.5902671654458267</c:v>
                </c:pt>
                <c:pt idx="7">
                  <c:v>-2.9004220937496661</c:v>
                </c:pt>
                <c:pt idx="8">
                  <c:v>-3.5404594489956631</c:v>
                </c:pt>
                <c:pt idx="9">
                  <c:v>-3.8632328412587142</c:v>
                </c:pt>
                <c:pt idx="10">
                  <c:v>-3.8167128256238212</c:v>
                </c:pt>
              </c:numCache>
            </c:numRef>
          </c:xVal>
          <c:yVal>
            <c:numRef>
              <c:f>COL!$D$4:$D$23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-21</c:v>
                </c:pt>
                <c:pt idx="7">
                  <c:v>-25</c:v>
                </c:pt>
                <c:pt idx="8">
                  <c:v>-29</c:v>
                </c:pt>
                <c:pt idx="9">
                  <c:v>-33</c:v>
                </c:pt>
                <c:pt idx="10">
                  <c:v>-39</c:v>
                </c:pt>
                <c:pt idx="11">
                  <c:v>-49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68E-41D9-B576-DB07EB143D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CLR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COL!$C$1</c:f>
              <c:strCache>
                <c:ptCount val="1"/>
                <c:pt idx="0">
                  <c:v>Colindres</c:v>
                </c:pt>
              </c:strCache>
            </c:strRef>
          </c:tx>
          <c:spPr>
            <a:ln w="19050" cap="rnd">
              <a:solidFill>
                <a:srgbClr val="1D8F8C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1D8F8C"/>
              </a:solidFill>
              <a:ln w="19050">
                <a:solidFill>
                  <a:srgbClr val="1D8F8C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COL!$E$4:$E$23</c:f>
              <c:numCache>
                <c:formatCode>0.000</c:formatCode>
                <c:ptCount val="20"/>
                <c:pt idx="0">
                  <c:v>0.12</c:v>
                </c:pt>
                <c:pt idx="1">
                  <c:v>0.14000000000000001</c:v>
                </c:pt>
                <c:pt idx="2">
                  <c:v>0.13</c:v>
                </c:pt>
                <c:pt idx="3">
                  <c:v>0.11</c:v>
                </c:pt>
                <c:pt idx="4">
                  <c:v>0.11</c:v>
                </c:pt>
                <c:pt idx="5">
                  <c:v>0.1</c:v>
                </c:pt>
                <c:pt idx="6">
                  <c:v>0.09</c:v>
                </c:pt>
                <c:pt idx="7">
                  <c:v>7.0000000000000007E-2</c:v>
                </c:pt>
                <c:pt idx="8">
                  <c:v>4.3999999999999997E-2</c:v>
                </c:pt>
                <c:pt idx="9">
                  <c:v>3.5999999999999997E-2</c:v>
                </c:pt>
                <c:pt idx="10">
                  <c:v>3.6999999999999998E-2</c:v>
                </c:pt>
                <c:pt idx="11">
                  <c:v>1.4999999999999999E-2</c:v>
                </c:pt>
              </c:numCache>
            </c:numRef>
          </c:xVal>
          <c:yVal>
            <c:numRef>
              <c:f>COL!$D$4:$D$23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-13</c:v>
                </c:pt>
                <c:pt idx="5">
                  <c:v>-17</c:v>
                </c:pt>
                <c:pt idx="6">
                  <c:v>-21</c:v>
                </c:pt>
                <c:pt idx="7">
                  <c:v>-25</c:v>
                </c:pt>
                <c:pt idx="8">
                  <c:v>-29</c:v>
                </c:pt>
                <c:pt idx="9">
                  <c:v>-33</c:v>
                </c:pt>
                <c:pt idx="10">
                  <c:v>-39</c:v>
                </c:pt>
                <c:pt idx="11">
                  <c:v>-49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0C6-4EBD-8A46-DEA66D86A6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DEE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DEE!$C$1</c:f>
              <c:strCache>
                <c:ptCount val="1"/>
                <c:pt idx="0">
                  <c:v>Ebro Delta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DEE!$H$4:$H$13</c:f>
              <c:numCache>
                <c:formatCode>0.0000</c:formatCode>
                <c:ptCount val="10"/>
                <c:pt idx="0">
                  <c:v>-2.4769384801388235</c:v>
                </c:pt>
                <c:pt idx="1">
                  <c:v>-2.4769384801388235</c:v>
                </c:pt>
                <c:pt idx="2">
                  <c:v>-2.2633643798407643</c:v>
                </c:pt>
                <c:pt idx="3">
                  <c:v>-2.7488721956224653</c:v>
                </c:pt>
                <c:pt idx="4">
                  <c:v>-2.9187712324178627</c:v>
                </c:pt>
                <c:pt idx="5">
                  <c:v>-3.2188758248682006</c:v>
                </c:pt>
                <c:pt idx="6">
                  <c:v>-3.8167128256238212</c:v>
                </c:pt>
                <c:pt idx="7">
                  <c:v>-4.3428059215206005</c:v>
                </c:pt>
                <c:pt idx="8">
                  <c:v>-4.9618451299268234</c:v>
                </c:pt>
                <c:pt idx="9">
                  <c:v>-6.9077552789821359</c:v>
                </c:pt>
              </c:numCache>
            </c:numRef>
          </c:xVal>
          <c:yVal>
            <c:numRef>
              <c:f>DEE!$D$4:$D$13</c:f>
              <c:numCache>
                <c:formatCode>General</c:formatCode>
                <c:ptCount val="1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-7</c:v>
                </c:pt>
                <c:pt idx="6">
                  <c:v>-9</c:v>
                </c:pt>
                <c:pt idx="7">
                  <c:v>-11</c:v>
                </c:pt>
                <c:pt idx="8">
                  <c:v>-13</c:v>
                </c:pt>
                <c:pt idx="9">
                  <c:v>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27-4256-986B-3D30BFACF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DEE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DEE!$C$1</c:f>
              <c:strCache>
                <c:ptCount val="1"/>
                <c:pt idx="0">
                  <c:v>Ebro Delta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19050">
                <a:solidFill>
                  <a:schemeClr val="accent5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DEE!$E$4:$E$23</c:f>
              <c:numCache>
                <c:formatCode>0.000</c:formatCode>
                <c:ptCount val="20"/>
                <c:pt idx="0">
                  <c:v>0.11</c:v>
                </c:pt>
                <c:pt idx="1">
                  <c:v>0.11</c:v>
                </c:pt>
                <c:pt idx="2">
                  <c:v>0.13</c:v>
                </c:pt>
                <c:pt idx="3">
                  <c:v>0.09</c:v>
                </c:pt>
                <c:pt idx="4">
                  <c:v>0.08</c:v>
                </c:pt>
                <c:pt idx="5">
                  <c:v>6.6000000000000003E-2</c:v>
                </c:pt>
                <c:pt idx="6">
                  <c:v>4.8000000000000001E-2</c:v>
                </c:pt>
                <c:pt idx="7">
                  <c:v>3.9E-2</c:v>
                </c:pt>
                <c:pt idx="8">
                  <c:v>3.3000000000000002E-2</c:v>
                </c:pt>
                <c:pt idx="9">
                  <c:v>2.7E-2</c:v>
                </c:pt>
                <c:pt idx="10">
                  <c:v>2.5999999999999999E-2</c:v>
                </c:pt>
                <c:pt idx="11">
                  <c:v>2.5999999999999999E-2</c:v>
                </c:pt>
              </c:numCache>
            </c:numRef>
          </c:xVal>
          <c:yVal>
            <c:numRef>
              <c:f>DEE!$D$4:$D$23</c:f>
              <c:numCache>
                <c:formatCode>General</c:formatCode>
                <c:ptCount val="20"/>
                <c:pt idx="0">
                  <c:v>-1</c:v>
                </c:pt>
                <c:pt idx="1">
                  <c:v>-2</c:v>
                </c:pt>
                <c:pt idx="2">
                  <c:v>-3</c:v>
                </c:pt>
                <c:pt idx="3">
                  <c:v>-4</c:v>
                </c:pt>
                <c:pt idx="4">
                  <c:v>-5</c:v>
                </c:pt>
                <c:pt idx="5">
                  <c:v>-7</c:v>
                </c:pt>
                <c:pt idx="6">
                  <c:v>-9</c:v>
                </c:pt>
                <c:pt idx="7">
                  <c:v>-11</c:v>
                </c:pt>
                <c:pt idx="8">
                  <c:v>-13</c:v>
                </c:pt>
                <c:pt idx="9">
                  <c:v>-15</c:v>
                </c:pt>
                <c:pt idx="10">
                  <c:v>-20</c:v>
                </c:pt>
                <c:pt idx="11">
                  <c:v>-30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11-4614-89CC-0E52BB1ABC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CMB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CMB!$C$1</c:f>
              <c:strCache>
                <c:ptCount val="1"/>
                <c:pt idx="0">
                  <c:v>Cadiz Militar Base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CMB!$H$4:$H$23</c:f>
              <c:numCache>
                <c:formatCode>0.0000</c:formatCode>
                <c:ptCount val="20"/>
                <c:pt idx="0">
                  <c:v>-3.6727104019865577</c:v>
                </c:pt>
                <c:pt idx="1">
                  <c:v>-3.3324416998322444</c:v>
                </c:pt>
                <c:pt idx="2">
                  <c:v>-4.5743916065689243</c:v>
                </c:pt>
                <c:pt idx="3">
                  <c:v>-4.4117475389300917</c:v>
                </c:pt>
                <c:pt idx="4">
                  <c:v>-6.5900273172363732</c:v>
                </c:pt>
              </c:numCache>
            </c:numRef>
          </c:xVal>
          <c:yVal>
            <c:numRef>
              <c:f>CMB!$D$4:$D$23</c:f>
              <c:numCache>
                <c:formatCode>General</c:formatCode>
                <c:ptCount val="20"/>
                <c:pt idx="0">
                  <c:v>-1.5</c:v>
                </c:pt>
                <c:pt idx="1">
                  <c:v>-3.5</c:v>
                </c:pt>
                <c:pt idx="2">
                  <c:v>-5.5</c:v>
                </c:pt>
                <c:pt idx="3">
                  <c:v>-9.5</c:v>
                </c:pt>
                <c:pt idx="4">
                  <c:v>-15.5</c:v>
                </c:pt>
                <c:pt idx="5">
                  <c:v>-19.5</c:v>
                </c:pt>
                <c:pt idx="6">
                  <c:v>-23.5</c:v>
                </c:pt>
                <c:pt idx="7">
                  <c:v>-27.5</c:v>
                </c:pt>
                <c:pt idx="8">
                  <c:v>-33.5</c:v>
                </c:pt>
                <c:pt idx="9">
                  <c:v>-39.5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556-40F2-A19B-1C739FBC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CMB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CMB!$C$1</c:f>
              <c:strCache>
                <c:ptCount val="1"/>
                <c:pt idx="0">
                  <c:v>Cadiz Militar Base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19050">
                <a:solidFill>
                  <a:schemeClr val="accent2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CMB!$E$4:$E$23</c:f>
              <c:numCache>
                <c:formatCode>0.000</c:formatCode>
                <c:ptCount val="20"/>
                <c:pt idx="0">
                  <c:v>6.4200616301366392E-2</c:v>
                </c:pt>
                <c:pt idx="1">
                  <c:v>7.449891999495023E-2</c:v>
                </c:pt>
                <c:pt idx="2">
                  <c:v>4.9105675705806373E-2</c:v>
                </c:pt>
                <c:pt idx="3">
                  <c:v>5.0927059567377281E-2</c:v>
                </c:pt>
                <c:pt idx="4">
                  <c:v>4.0167106764459552E-2</c:v>
                </c:pt>
                <c:pt idx="5">
                  <c:v>3.8431538232805297E-2</c:v>
                </c:pt>
                <c:pt idx="6">
                  <c:v>3.8632406489259828E-2</c:v>
                </c:pt>
                <c:pt idx="7">
                  <c:v>4.2878052277780077E-2</c:v>
                </c:pt>
                <c:pt idx="8">
                  <c:v>3.509831292422174E-2</c:v>
                </c:pt>
                <c:pt idx="9">
                  <c:v>3.8925211752433755E-2</c:v>
                </c:pt>
              </c:numCache>
            </c:numRef>
          </c:xVal>
          <c:yVal>
            <c:numRef>
              <c:f>CMB!$D$4:$D$23</c:f>
              <c:numCache>
                <c:formatCode>General</c:formatCode>
                <c:ptCount val="20"/>
                <c:pt idx="0">
                  <c:v>-1.5</c:v>
                </c:pt>
                <c:pt idx="1">
                  <c:v>-3.5</c:v>
                </c:pt>
                <c:pt idx="2">
                  <c:v>-5.5</c:v>
                </c:pt>
                <c:pt idx="3">
                  <c:v>-9.5</c:v>
                </c:pt>
                <c:pt idx="4">
                  <c:v>-15.5</c:v>
                </c:pt>
                <c:pt idx="5">
                  <c:v>-19.5</c:v>
                </c:pt>
                <c:pt idx="6">
                  <c:v>-23.5</c:v>
                </c:pt>
                <c:pt idx="7">
                  <c:v>-27.5</c:v>
                </c:pt>
                <c:pt idx="8">
                  <c:v>-33.5</c:v>
                </c:pt>
                <c:pt idx="9">
                  <c:v>-39.5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ED-4B10-9D66-2F49CB18A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CSD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CSD!$C$1</c:f>
              <c:strCache>
                <c:ptCount val="1"/>
                <c:pt idx="0">
                  <c:v>Cadiz Salina Dolores</c:v>
                </c:pt>
              </c:strCache>
            </c:strRef>
          </c:tx>
          <c:spPr>
            <a:ln w="19050" cap="rnd">
              <a:solidFill>
                <a:srgbClr val="C00000">
                  <a:alpha val="99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CSD!$H$4:$H$23</c:f>
              <c:numCache>
                <c:formatCode>0.0000</c:formatCode>
                <c:ptCount val="20"/>
                <c:pt idx="0">
                  <c:v>-4.5756113837465469</c:v>
                </c:pt>
                <c:pt idx="1">
                  <c:v>-5.7138328105097029</c:v>
                </c:pt>
              </c:numCache>
            </c:numRef>
          </c:xVal>
          <c:yVal>
            <c:numRef>
              <c:f>CSD!$D$4:$D$23</c:f>
              <c:numCache>
                <c:formatCode>0.00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D37-443B-A842-72B3E6559C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CSD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CSD!$C$1</c:f>
              <c:strCache>
                <c:ptCount val="1"/>
                <c:pt idx="0">
                  <c:v>Cadiz Salina Dolores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CSD!$E$4:$E$23</c:f>
              <c:numCache>
                <c:formatCode>General</c:formatCode>
                <c:ptCount val="20"/>
                <c:pt idx="0">
                  <c:v>1.6E-2</c:v>
                </c:pt>
                <c:pt idx="1">
                  <c:v>8.9999999999999993E-3</c:v>
                </c:pt>
                <c:pt idx="2">
                  <c:v>1.1999999999999999E-3</c:v>
                </c:pt>
                <c:pt idx="3">
                  <c:v>1.6999999999999999E-3</c:v>
                </c:pt>
                <c:pt idx="4">
                  <c:v>2.8E-3</c:v>
                </c:pt>
                <c:pt idx="5">
                  <c:v>3.0999999999999999E-3</c:v>
                </c:pt>
                <c:pt idx="6">
                  <c:v>2E-3</c:v>
                </c:pt>
                <c:pt idx="7">
                  <c:v>3.5999999999999999E-3</c:v>
                </c:pt>
                <c:pt idx="8">
                  <c:v>4.1000000000000003E-3</c:v>
                </c:pt>
                <c:pt idx="9">
                  <c:v>1.2999999999999999E-3</c:v>
                </c:pt>
                <c:pt idx="10">
                  <c:v>5.7000000000000002E-3</c:v>
                </c:pt>
              </c:numCache>
            </c:numRef>
          </c:xVal>
          <c:yVal>
            <c:numRef>
              <c:f>CSD!$D$4:$D$23</c:f>
              <c:numCache>
                <c:formatCode>0.00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40B-4FA7-9755-A9693F188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HIT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HIT!$C$1</c:f>
              <c:strCache>
                <c:ptCount val="1"/>
                <c:pt idx="0">
                  <c:v>Huelva Tinto River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HIT!$H$4:$H$23</c:f>
              <c:numCache>
                <c:formatCode>0.0000</c:formatCode>
                <c:ptCount val="20"/>
                <c:pt idx="0">
                  <c:v>-2.7457520682862215</c:v>
                </c:pt>
                <c:pt idx="1">
                  <c:v>-2.7936080894638566</c:v>
                </c:pt>
                <c:pt idx="2">
                  <c:v>-2.761450977829325</c:v>
                </c:pt>
                <c:pt idx="3">
                  <c:v>-2.2614431496628704</c:v>
                </c:pt>
                <c:pt idx="4">
                  <c:v>-2.7774002792370034</c:v>
                </c:pt>
                <c:pt idx="5">
                  <c:v>-4.0063336848993876</c:v>
                </c:pt>
                <c:pt idx="6">
                  <c:v>-3.9020726745749781</c:v>
                </c:pt>
                <c:pt idx="7">
                  <c:v>-4.1227440367437991</c:v>
                </c:pt>
                <c:pt idx="8">
                  <c:v>-5.4726707536928139</c:v>
                </c:pt>
                <c:pt idx="9">
                  <c:v>-6.1192979186178666</c:v>
                </c:pt>
              </c:numCache>
            </c:numRef>
          </c:xVal>
          <c:yVal>
            <c:numRef>
              <c:f>HIT!$D$4:$D$23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10-4848-AFAA-F35CBB40F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HIT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HIT!$C$1</c:f>
              <c:strCache>
                <c:ptCount val="1"/>
                <c:pt idx="0">
                  <c:v>Huelva Tinto River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19050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HIT!$E$4:$E$23</c:f>
              <c:numCache>
                <c:formatCode>General</c:formatCode>
                <c:ptCount val="20"/>
                <c:pt idx="0">
                  <c:v>7.0000000000000007E-2</c:v>
                </c:pt>
                <c:pt idx="1">
                  <c:v>6.7000000000000004E-2</c:v>
                </c:pt>
                <c:pt idx="2">
                  <c:v>6.9000000000000006E-2</c:v>
                </c:pt>
                <c:pt idx="3">
                  <c:v>0.11</c:v>
                </c:pt>
                <c:pt idx="4">
                  <c:v>6.8000000000000005E-2</c:v>
                </c:pt>
                <c:pt idx="5">
                  <c:v>2.4E-2</c:v>
                </c:pt>
                <c:pt idx="6">
                  <c:v>2.5999999999999999E-2</c:v>
                </c:pt>
                <c:pt idx="7">
                  <c:v>2.1999999999999999E-2</c:v>
                </c:pt>
                <c:pt idx="8">
                  <c:v>0.01</c:v>
                </c:pt>
                <c:pt idx="9">
                  <c:v>8.0000000000000002E-3</c:v>
                </c:pt>
                <c:pt idx="10">
                  <c:v>5.7999999999999996E-3</c:v>
                </c:pt>
              </c:numCache>
            </c:numRef>
          </c:xVal>
          <c:yVal>
            <c:numRef>
              <c:f>HIT!$D$4:$D$23</c:f>
              <c:numCache>
                <c:formatCode>General</c:formatCode>
                <c:ptCount val="20"/>
                <c:pt idx="0">
                  <c:v>-1</c:v>
                </c:pt>
                <c:pt idx="1">
                  <c:v>-3</c:v>
                </c:pt>
                <c:pt idx="2">
                  <c:v>-5</c:v>
                </c:pt>
                <c:pt idx="3">
                  <c:v>-9</c:v>
                </c:pt>
                <c:pt idx="4">
                  <c:v>-15</c:v>
                </c:pt>
                <c:pt idx="5">
                  <c:v>-19</c:v>
                </c:pt>
                <c:pt idx="6">
                  <c:v>-23</c:v>
                </c:pt>
                <c:pt idx="7">
                  <c:v>-27</c:v>
                </c:pt>
                <c:pt idx="8">
                  <c:v>-39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BF-41E2-833C-91BC98D643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HIO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ln(</a:t>
            </a: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)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HIO!$C$1</c:f>
              <c:strCache>
                <c:ptCount val="1"/>
                <c:pt idx="0">
                  <c:v>Huelva Saltes Island Ocean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rgbClr val="FF0000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7502832835550728"/>
                  <c:y val="0.26984238741815769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endParaRPr lang="es-ES"/>
                </a:p>
              </c:txPr>
            </c:trendlineLbl>
          </c:trendline>
          <c:errBars>
            <c:errDir val="x"/>
            <c:errBarType val="both"/>
            <c:errValType val="cust"/>
            <c:noEndCap val="0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HIO!$H$4:$H$23</c:f>
              <c:numCache>
                <c:formatCode>0.0000</c:formatCode>
                <c:ptCount val="20"/>
                <c:pt idx="0">
                  <c:v>-2.9187712324178627</c:v>
                </c:pt>
                <c:pt idx="1">
                  <c:v>-3.4112477175156566</c:v>
                </c:pt>
                <c:pt idx="2">
                  <c:v>-3.3242363405260273</c:v>
                </c:pt>
                <c:pt idx="3">
                  <c:v>-3.473768074496991</c:v>
                </c:pt>
                <c:pt idx="4">
                  <c:v>-3.575550768806933</c:v>
                </c:pt>
                <c:pt idx="5">
                  <c:v>-3.8167128256238212</c:v>
                </c:pt>
                <c:pt idx="6">
                  <c:v>-3.912023005428146</c:v>
                </c:pt>
                <c:pt idx="7">
                  <c:v>-3.6888794541139363</c:v>
                </c:pt>
                <c:pt idx="8">
                  <c:v>-3.912023005428146</c:v>
                </c:pt>
                <c:pt idx="9">
                  <c:v>-6.2146080984221914</c:v>
                </c:pt>
              </c:numCache>
            </c:numRef>
          </c:xVal>
          <c:yVal>
            <c:numRef>
              <c:f>HIO!$D$4:$D$23</c:f>
              <c:numCache>
                <c:formatCode>General</c:formatCode>
                <c:ptCount val="20"/>
                <c:pt idx="0">
                  <c:v>-11</c:v>
                </c:pt>
                <c:pt idx="1">
                  <c:v>-23</c:v>
                </c:pt>
                <c:pt idx="2">
                  <c:v>-27</c:v>
                </c:pt>
                <c:pt idx="3">
                  <c:v>-31</c:v>
                </c:pt>
                <c:pt idx="4">
                  <c:v>-35</c:v>
                </c:pt>
                <c:pt idx="5">
                  <c:v>-41</c:v>
                </c:pt>
                <c:pt idx="6">
                  <c:v>-45</c:v>
                </c:pt>
                <c:pt idx="7">
                  <c:v>-47</c:v>
                </c:pt>
                <c:pt idx="8">
                  <c:v>-49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B01-4419-ABA4-96857B8FD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32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100" b="1"/>
              <a:t>HIO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r>
              <a:rPr lang="es-ES" sz="1000" b="0" i="0" u="none" strike="noStrike" kern="1200" spc="0" baseline="30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210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Pb</a:t>
            </a:r>
            <a:r>
              <a:rPr lang="es-ES" sz="1000" b="0" i="0" u="none" strike="noStrike" kern="1200" spc="0" baseline="-2500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ex</a:t>
            </a:r>
            <a:r>
              <a:rPr lang="es-ES" sz="10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​ </a:t>
            </a:r>
            <a:endParaRPr lang="en-US" sz="10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32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E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HIO!$C$1</c:f>
              <c:strCache>
                <c:ptCount val="1"/>
                <c:pt idx="0">
                  <c:v>Huelva Saltes Island Ocean</c:v>
                </c:pt>
              </c:strCache>
            </c:strRef>
          </c:tx>
          <c:spPr>
            <a:ln w="19050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5000"/>
                </a:schemeClr>
              </a:solidFill>
              <a:ln w="19050">
                <a:solidFill>
                  <a:schemeClr val="accent5">
                    <a:lumMod val="75000"/>
                  </a:schemeClr>
                </a:solidFill>
              </a:ln>
              <a:effectLst/>
            </c:spPr>
          </c:marker>
          <c:errBars>
            <c:errDir val="x"/>
            <c:errBarType val="both"/>
            <c:errValType val="cust"/>
            <c:noEndCap val="1"/>
            <c:pl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plus>
            <c:minus>
              <c:numRef>
                <c:f>COL!$F$4:$F$23</c:f>
                <c:numCache>
                  <c:formatCode>General</c:formatCode>
                  <c:ptCount val="20"/>
                  <c:pt idx="0">
                    <c:v>2.0000000000000004E-2</c:v>
                  </c:pt>
                  <c:pt idx="1">
                    <c:v>2.0000000000000004E-2</c:v>
                  </c:pt>
                  <c:pt idx="2">
                    <c:v>2.0000000000000004E-2</c:v>
                  </c:pt>
                  <c:pt idx="3">
                    <c:v>1.0000000000000002E-2</c:v>
                  </c:pt>
                  <c:pt idx="4">
                    <c:v>1.0000000000000002E-2</c:v>
                  </c:pt>
                  <c:pt idx="5">
                    <c:v>1.0000000000000002E-2</c:v>
                  </c:pt>
                  <c:pt idx="6">
                    <c:v>1.0000000000000002E-2</c:v>
                  </c:pt>
                  <c:pt idx="7">
                    <c:v>1.0000000000000002E-2</c:v>
                  </c:pt>
                  <c:pt idx="8">
                    <c:v>6.0000000000000001E-3</c:v>
                  </c:pt>
                  <c:pt idx="9">
                    <c:v>5.0000000000000001E-3</c:v>
                  </c:pt>
                  <c:pt idx="10">
                    <c:v>5.0000000000000001E-3</c:v>
                  </c:pt>
                  <c:pt idx="11">
                    <c:v>2E-3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HIO!$E$4:$E$23</c:f>
              <c:numCache>
                <c:formatCode>General</c:formatCode>
                <c:ptCount val="20"/>
                <c:pt idx="0">
                  <c:v>6.2E-2</c:v>
                </c:pt>
                <c:pt idx="1">
                  <c:v>4.1000000000000002E-2</c:v>
                </c:pt>
                <c:pt idx="2">
                  <c:v>4.3999999999999997E-2</c:v>
                </c:pt>
                <c:pt idx="3">
                  <c:v>3.9E-2</c:v>
                </c:pt>
                <c:pt idx="4">
                  <c:v>3.5999999999999997E-2</c:v>
                </c:pt>
                <c:pt idx="5">
                  <c:v>0.03</c:v>
                </c:pt>
                <c:pt idx="6">
                  <c:v>2.8000000000000001E-2</c:v>
                </c:pt>
                <c:pt idx="7">
                  <c:v>3.3000000000000002E-2</c:v>
                </c:pt>
                <c:pt idx="8">
                  <c:v>2.8000000000000001E-2</c:v>
                </c:pt>
                <c:pt idx="9">
                  <c:v>0.01</c:v>
                </c:pt>
                <c:pt idx="10">
                  <c:v>8.0000000000000002E-3</c:v>
                </c:pt>
              </c:numCache>
            </c:numRef>
          </c:xVal>
          <c:yVal>
            <c:numRef>
              <c:f>HIO!$D$4:$D$23</c:f>
              <c:numCache>
                <c:formatCode>General</c:formatCode>
                <c:ptCount val="20"/>
                <c:pt idx="0">
                  <c:v>-11</c:v>
                </c:pt>
                <c:pt idx="1">
                  <c:v>-23</c:v>
                </c:pt>
                <c:pt idx="2">
                  <c:v>-27</c:v>
                </c:pt>
                <c:pt idx="3">
                  <c:v>-31</c:v>
                </c:pt>
                <c:pt idx="4">
                  <c:v>-35</c:v>
                </c:pt>
                <c:pt idx="5">
                  <c:v>-41</c:v>
                </c:pt>
                <c:pt idx="6">
                  <c:v>-45</c:v>
                </c:pt>
                <c:pt idx="7">
                  <c:v>-47</c:v>
                </c:pt>
                <c:pt idx="8">
                  <c:v>-49</c:v>
                </c:pt>
                <c:pt idx="9">
                  <c:v>-65</c:v>
                </c:pt>
                <c:pt idx="10">
                  <c:v>-87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AE1-4303-B428-AD605CD082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3337360"/>
        <c:axId val="853337840"/>
      </c:scatterChart>
      <c:valAx>
        <c:axId val="853337360"/>
        <c:scaling>
          <c:orientation val="minMax"/>
        </c:scaling>
        <c:delete val="0"/>
        <c:axPos val="b"/>
        <c:majorGridlines>
          <c:spPr>
            <a:ln w="9525" cap="flat" cmpd="sng" algn="ctr">
              <a:noFill/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high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840"/>
        <c:crosses val="autoZero"/>
        <c:crossBetween val="midCat"/>
      </c:valAx>
      <c:valAx>
        <c:axId val="853337840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s-ES" sz="1000"/>
                  <a:t>Depth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ES"/>
          </a:p>
        </c:txPr>
        <c:crossAx val="8533373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Arial" panose="020B0604020202020204" pitchFamily="34" charset="0"/>
          <a:cs typeface="Arial" panose="020B0604020202020204" pitchFamily="34" charset="0"/>
        </a:defRPr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13" Type="http://schemas.openxmlformats.org/officeDocument/2006/relationships/chart" Target="../charts/chart29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12" Type="http://schemas.openxmlformats.org/officeDocument/2006/relationships/chart" Target="../charts/chart28.xml"/><Relationship Id="rId2" Type="http://schemas.openxmlformats.org/officeDocument/2006/relationships/chart" Target="../charts/chart18.xml"/><Relationship Id="rId16" Type="http://schemas.openxmlformats.org/officeDocument/2006/relationships/chart" Target="../charts/chart32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11" Type="http://schemas.openxmlformats.org/officeDocument/2006/relationships/chart" Target="../charts/chart27.xml"/><Relationship Id="rId5" Type="http://schemas.openxmlformats.org/officeDocument/2006/relationships/chart" Target="../charts/chart21.xml"/><Relationship Id="rId15" Type="http://schemas.openxmlformats.org/officeDocument/2006/relationships/chart" Target="../charts/chart31.xml"/><Relationship Id="rId10" Type="http://schemas.openxmlformats.org/officeDocument/2006/relationships/chart" Target="../charts/chart26.xml"/><Relationship Id="rId4" Type="http://schemas.openxmlformats.org/officeDocument/2006/relationships/chart" Target="../charts/chart20.xml"/><Relationship Id="rId9" Type="http://schemas.openxmlformats.org/officeDocument/2006/relationships/chart" Target="../charts/chart25.xml"/><Relationship Id="rId14" Type="http://schemas.openxmlformats.org/officeDocument/2006/relationships/chart" Target="../charts/chart3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22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BADE1A-1617-4C00-BFDC-DDBBF71589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23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FB79A7-BF0E-442D-AD8D-7E23040FE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22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5EE950-A18B-40B8-B388-674E034413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23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E16145-FBCD-4DD1-94A8-64C3FD546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20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0F8BF3-70A0-418D-A467-C0D17EC61C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21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5BE22D-E805-4955-86A7-0B3AD2FA32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22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12CF3A-B585-4C78-BE17-C902B468CF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23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E026BE7-6520-41BF-AC1B-385751A77D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22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3824AF-4E7D-477C-B33B-3AE6C7777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23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9BFA0F-B775-4636-AD46-3D713F2BA9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21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69BA1F-29C0-495D-B778-BB5993402B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22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EB42F7-7F77-4ECA-96C6-698443F4E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21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347546-34FF-482F-9C5D-A288E51373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22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6EBDE7-7F24-4811-81F3-3BDC096BC4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38100</xdr:colOff>
      <xdr:row>2</xdr:row>
      <xdr:rowOff>0</xdr:rowOff>
    </xdr:from>
    <xdr:to>
      <xdr:col>17</xdr:col>
      <xdr:colOff>361950</xdr:colOff>
      <xdr:row>21</xdr:row>
      <xdr:rowOff>195264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9787CC8-785A-4902-BBF0-98D2A9F0C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228600</xdr:colOff>
      <xdr:row>2</xdr:row>
      <xdr:rowOff>9525</xdr:rowOff>
    </xdr:from>
    <xdr:to>
      <xdr:col>12</xdr:col>
      <xdr:colOff>552450</xdr:colOff>
      <xdr:row>22</xdr:row>
      <xdr:rowOff>4764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BCA551C-811C-443E-A8D2-E2A54C484F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28</xdr:row>
      <xdr:rowOff>0</xdr:rowOff>
    </xdr:from>
    <xdr:to>
      <xdr:col>7</xdr:col>
      <xdr:colOff>285750</xdr:colOff>
      <xdr:row>49</xdr:row>
      <xdr:rowOff>4764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A47FD7-0186-4589-801F-DAB6D1BB36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28</xdr:row>
      <xdr:rowOff>9525</xdr:rowOff>
    </xdr:from>
    <xdr:to>
      <xdr:col>3</xdr:col>
      <xdr:colOff>476250</xdr:colOff>
      <xdr:row>49</xdr:row>
      <xdr:rowOff>14289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56878E-387A-43AB-AB69-B0FFF7E571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571500</xdr:colOff>
      <xdr:row>0</xdr:row>
      <xdr:rowOff>0</xdr:rowOff>
    </xdr:from>
    <xdr:to>
      <xdr:col>7</xdr:col>
      <xdr:colOff>266700</xdr:colOff>
      <xdr:row>27</xdr:row>
      <xdr:rowOff>4764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4F84A09A-30F6-4E72-984B-1D0F816851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0</xdr:row>
      <xdr:rowOff>9525</xdr:rowOff>
    </xdr:from>
    <xdr:to>
      <xdr:col>3</xdr:col>
      <xdr:colOff>476250</xdr:colOff>
      <xdr:row>27</xdr:row>
      <xdr:rowOff>14289</xdr:rowOff>
    </xdr:to>
    <xdr:graphicFrame macro="">
      <xdr:nvGraphicFramePr>
        <xdr:cNvPr id="5" name="Chart 2">
          <a:extLst>
            <a:ext uri="{FF2B5EF4-FFF2-40B4-BE49-F238E27FC236}">
              <a16:creationId xmlns:a16="http://schemas.microsoft.com/office/drawing/2014/main" id="{408B94DF-F25F-448C-9A24-2635DD116C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571500</xdr:colOff>
      <xdr:row>50</xdr:row>
      <xdr:rowOff>0</xdr:rowOff>
    </xdr:from>
    <xdr:to>
      <xdr:col>7</xdr:col>
      <xdr:colOff>285750</xdr:colOff>
      <xdr:row>71</xdr:row>
      <xdr:rowOff>4764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0A25885-473A-42F9-9AA4-9E4C10C4FB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50</xdr:row>
      <xdr:rowOff>19050</xdr:rowOff>
    </xdr:from>
    <xdr:to>
      <xdr:col>3</xdr:col>
      <xdr:colOff>476250</xdr:colOff>
      <xdr:row>71</xdr:row>
      <xdr:rowOff>23814</xdr:rowOff>
    </xdr:to>
    <xdr:graphicFrame macro="">
      <xdr:nvGraphicFramePr>
        <xdr:cNvPr id="7" name="Chart 2">
          <a:extLst>
            <a:ext uri="{FF2B5EF4-FFF2-40B4-BE49-F238E27FC236}">
              <a16:creationId xmlns:a16="http://schemas.microsoft.com/office/drawing/2014/main" id="{872D9831-5E73-470A-8DCF-883BD674A8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571500</xdr:colOff>
      <xdr:row>73</xdr:row>
      <xdr:rowOff>0</xdr:rowOff>
    </xdr:from>
    <xdr:to>
      <xdr:col>7</xdr:col>
      <xdr:colOff>285750</xdr:colOff>
      <xdr:row>94</xdr:row>
      <xdr:rowOff>4764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20D095FD-4C06-471C-AA87-700CB0CF51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73</xdr:row>
      <xdr:rowOff>19050</xdr:rowOff>
    </xdr:from>
    <xdr:to>
      <xdr:col>3</xdr:col>
      <xdr:colOff>476250</xdr:colOff>
      <xdr:row>94</xdr:row>
      <xdr:rowOff>23814</xdr:rowOff>
    </xdr:to>
    <xdr:graphicFrame macro="">
      <xdr:nvGraphicFramePr>
        <xdr:cNvPr id="9" name="Chart 2">
          <a:extLst>
            <a:ext uri="{FF2B5EF4-FFF2-40B4-BE49-F238E27FC236}">
              <a16:creationId xmlns:a16="http://schemas.microsoft.com/office/drawing/2014/main" id="{2E9D6BFE-37A4-4CEE-858B-CE5F2CBC2D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571500</xdr:colOff>
      <xdr:row>96</xdr:row>
      <xdr:rowOff>0</xdr:rowOff>
    </xdr:from>
    <xdr:to>
      <xdr:col>7</xdr:col>
      <xdr:colOff>285750</xdr:colOff>
      <xdr:row>117</xdr:row>
      <xdr:rowOff>4764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710DEBAA-15FA-471D-B943-D8E8E2A845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96</xdr:row>
      <xdr:rowOff>19050</xdr:rowOff>
    </xdr:from>
    <xdr:to>
      <xdr:col>3</xdr:col>
      <xdr:colOff>476250</xdr:colOff>
      <xdr:row>117</xdr:row>
      <xdr:rowOff>23814</xdr:rowOff>
    </xdr:to>
    <xdr:graphicFrame macro="">
      <xdr:nvGraphicFramePr>
        <xdr:cNvPr id="11" name="Chart 2">
          <a:extLst>
            <a:ext uri="{FF2B5EF4-FFF2-40B4-BE49-F238E27FC236}">
              <a16:creationId xmlns:a16="http://schemas.microsoft.com/office/drawing/2014/main" id="{EF78C341-9ACC-4405-9A71-076B0B6A9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3</xdr:col>
      <xdr:colOff>571500</xdr:colOff>
      <xdr:row>119</xdr:row>
      <xdr:rowOff>0</xdr:rowOff>
    </xdr:from>
    <xdr:to>
      <xdr:col>7</xdr:col>
      <xdr:colOff>285750</xdr:colOff>
      <xdr:row>140</xdr:row>
      <xdr:rowOff>7939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D1B99540-6BA9-44C9-A21D-A6D846AD4F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119</xdr:row>
      <xdr:rowOff>19050</xdr:rowOff>
    </xdr:from>
    <xdr:to>
      <xdr:col>3</xdr:col>
      <xdr:colOff>476250</xdr:colOff>
      <xdr:row>140</xdr:row>
      <xdr:rowOff>26989</xdr:rowOff>
    </xdr:to>
    <xdr:graphicFrame macro="">
      <xdr:nvGraphicFramePr>
        <xdr:cNvPr id="13" name="Chart 2">
          <a:extLst>
            <a:ext uri="{FF2B5EF4-FFF2-40B4-BE49-F238E27FC236}">
              <a16:creationId xmlns:a16="http://schemas.microsoft.com/office/drawing/2014/main" id="{401349F9-6FC0-45D1-A0D8-76737442E2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</xdr:col>
      <xdr:colOff>571500</xdr:colOff>
      <xdr:row>142</xdr:row>
      <xdr:rowOff>0</xdr:rowOff>
    </xdr:from>
    <xdr:to>
      <xdr:col>7</xdr:col>
      <xdr:colOff>285750</xdr:colOff>
      <xdr:row>163</xdr:row>
      <xdr:rowOff>7939</xdr:rowOff>
    </xdr:to>
    <xdr:graphicFrame macro="">
      <xdr:nvGraphicFramePr>
        <xdr:cNvPr id="14" name="Chart 1">
          <a:extLst>
            <a:ext uri="{FF2B5EF4-FFF2-40B4-BE49-F238E27FC236}">
              <a16:creationId xmlns:a16="http://schemas.microsoft.com/office/drawing/2014/main" id="{DBF3F0A4-24E8-40C6-BA47-9028D392B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142</xdr:row>
      <xdr:rowOff>19050</xdr:rowOff>
    </xdr:from>
    <xdr:to>
      <xdr:col>3</xdr:col>
      <xdr:colOff>476250</xdr:colOff>
      <xdr:row>163</xdr:row>
      <xdr:rowOff>26989</xdr:rowOff>
    </xdr:to>
    <xdr:graphicFrame macro="">
      <xdr:nvGraphicFramePr>
        <xdr:cNvPr id="15" name="Chart 2">
          <a:extLst>
            <a:ext uri="{FF2B5EF4-FFF2-40B4-BE49-F238E27FC236}">
              <a16:creationId xmlns:a16="http://schemas.microsoft.com/office/drawing/2014/main" id="{F2404651-0BEC-483A-9366-925C51E23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</xdr:col>
      <xdr:colOff>571500</xdr:colOff>
      <xdr:row>165</xdr:row>
      <xdr:rowOff>0</xdr:rowOff>
    </xdr:from>
    <xdr:to>
      <xdr:col>7</xdr:col>
      <xdr:colOff>285750</xdr:colOff>
      <xdr:row>186</xdr:row>
      <xdr:rowOff>7939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A4FA1AC0-D209-46CE-B3E1-86CC34323E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165</xdr:row>
      <xdr:rowOff>19050</xdr:rowOff>
    </xdr:from>
    <xdr:to>
      <xdr:col>3</xdr:col>
      <xdr:colOff>476250</xdr:colOff>
      <xdr:row>186</xdr:row>
      <xdr:rowOff>26989</xdr:rowOff>
    </xdr:to>
    <xdr:graphicFrame macro="">
      <xdr:nvGraphicFramePr>
        <xdr:cNvPr id="17" name="Chart 2">
          <a:extLst>
            <a:ext uri="{FF2B5EF4-FFF2-40B4-BE49-F238E27FC236}">
              <a16:creationId xmlns:a16="http://schemas.microsoft.com/office/drawing/2014/main" id="{95913710-CB3B-4BFB-BA5C-592AFE181A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D967-5502-4973-B71E-8E70C227FB57}">
  <sheetPr>
    <pageSetUpPr fitToPage="1"/>
  </sheetPr>
  <dimension ref="A1:R51"/>
  <sheetViews>
    <sheetView topLeftCell="K20" workbookViewId="0">
      <selection activeCell="R28" sqref="R28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</cols>
  <sheetData>
    <row r="1" spans="1:8" ht="15" thickBot="1" x14ac:dyDescent="0.4">
      <c r="A1" s="6" t="s">
        <v>17</v>
      </c>
      <c r="B1" s="7"/>
      <c r="C1" s="26" t="s">
        <v>22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23</v>
      </c>
      <c r="C4" s="33" t="s">
        <v>24</v>
      </c>
      <c r="D4" s="30">
        <v>-1</v>
      </c>
      <c r="E4" s="34">
        <v>0.16</v>
      </c>
      <c r="F4" s="34">
        <v>2.0000000000000004E-2</v>
      </c>
      <c r="G4" s="5">
        <f>E4-0.016</f>
        <v>0.14400000000000002</v>
      </c>
      <c r="H4" s="12">
        <f>LN(G4)</f>
        <v>-1.9379419794061363</v>
      </c>
    </row>
    <row r="5" spans="1:8" x14ac:dyDescent="0.35">
      <c r="A5" s="11">
        <v>2</v>
      </c>
      <c r="B5" s="32" t="s">
        <v>25</v>
      </c>
      <c r="C5" s="33" t="s">
        <v>26</v>
      </c>
      <c r="D5" s="30">
        <v>-2</v>
      </c>
      <c r="E5" s="34">
        <v>0.14000000000000001</v>
      </c>
      <c r="F5" s="34">
        <v>2.0000000000000004E-2</v>
      </c>
      <c r="G5" s="5">
        <f t="shared" ref="G5:G15" si="0">E5-0.016</f>
        <v>0.12400000000000001</v>
      </c>
      <c r="H5" s="12">
        <f t="shared" ref="H5:H14" si="1">LN(G5)</f>
        <v>-2.0874737133771002</v>
      </c>
    </row>
    <row r="6" spans="1:8" x14ac:dyDescent="0.35">
      <c r="A6" s="11">
        <v>3</v>
      </c>
      <c r="B6" s="32" t="s">
        <v>27</v>
      </c>
      <c r="C6" s="33" t="s">
        <v>28</v>
      </c>
      <c r="D6" s="30">
        <v>-4</v>
      </c>
      <c r="E6" s="34">
        <v>0.09</v>
      </c>
      <c r="F6" s="34">
        <v>1.0000000000000002E-2</v>
      </c>
      <c r="G6" s="5">
        <f t="shared" si="0"/>
        <v>7.3999999999999996E-2</v>
      </c>
      <c r="H6" s="12">
        <f t="shared" si="1"/>
        <v>-2.6036901857779675</v>
      </c>
    </row>
    <row r="7" spans="1:8" x14ac:dyDescent="0.35">
      <c r="A7" s="11">
        <v>4</v>
      </c>
      <c r="B7" s="32" t="s">
        <v>29</v>
      </c>
      <c r="C7" s="33" t="s">
        <v>30</v>
      </c>
      <c r="D7" s="30">
        <v>-8</v>
      </c>
      <c r="E7" s="34">
        <v>0.11</v>
      </c>
      <c r="F7" s="34">
        <v>2.0000000000000004E-2</v>
      </c>
      <c r="G7" s="5">
        <f t="shared" si="0"/>
        <v>9.4E-2</v>
      </c>
      <c r="H7" s="12">
        <f t="shared" si="1"/>
        <v>-2.364460496712133</v>
      </c>
    </row>
    <row r="8" spans="1:8" x14ac:dyDescent="0.35">
      <c r="A8" s="11">
        <v>5</v>
      </c>
      <c r="B8" s="32" t="s">
        <v>31</v>
      </c>
      <c r="C8" s="33" t="s">
        <v>32</v>
      </c>
      <c r="D8" s="30">
        <v>-12</v>
      </c>
      <c r="E8" s="34">
        <v>6.3E-2</v>
      </c>
      <c r="F8" s="34">
        <v>8.0000000000000002E-3</v>
      </c>
      <c r="G8" s="5">
        <f t="shared" si="0"/>
        <v>4.7E-2</v>
      </c>
      <c r="H8" s="12">
        <f t="shared" si="1"/>
        <v>-3.0576076772720784</v>
      </c>
    </row>
    <row r="9" spans="1:8" x14ac:dyDescent="0.35">
      <c r="A9" s="11">
        <v>6</v>
      </c>
      <c r="B9" s="32" t="s">
        <v>33</v>
      </c>
      <c r="C9" s="33" t="s">
        <v>34</v>
      </c>
      <c r="D9" s="4">
        <v>-16</v>
      </c>
      <c r="E9" s="35">
        <v>5.6000000000000001E-2</v>
      </c>
      <c r="F9" s="35">
        <v>6.9999999999999993E-3</v>
      </c>
      <c r="G9" s="5">
        <f t="shared" si="0"/>
        <v>0.04</v>
      </c>
      <c r="H9" s="12">
        <f t="shared" si="1"/>
        <v>-3.2188758248682006</v>
      </c>
    </row>
    <row r="10" spans="1:8" x14ac:dyDescent="0.35">
      <c r="A10" s="11">
        <v>7</v>
      </c>
      <c r="B10" s="32" t="s">
        <v>35</v>
      </c>
      <c r="C10" s="33" t="s">
        <v>36</v>
      </c>
      <c r="D10" s="4">
        <v>-20</v>
      </c>
      <c r="E10" s="35">
        <v>7.0000000000000007E-2</v>
      </c>
      <c r="F10" s="35">
        <v>9.0000000000000011E-3</v>
      </c>
      <c r="G10" s="5">
        <f t="shared" si="0"/>
        <v>5.4000000000000006E-2</v>
      </c>
      <c r="H10" s="12">
        <f t="shared" si="1"/>
        <v>-2.9187712324178627</v>
      </c>
    </row>
    <row r="11" spans="1:8" x14ac:dyDescent="0.35">
      <c r="A11" s="11">
        <v>8</v>
      </c>
      <c r="B11" s="32" t="s">
        <v>37</v>
      </c>
      <c r="C11" s="33" t="s">
        <v>38</v>
      </c>
      <c r="D11" s="4">
        <v>-24</v>
      </c>
      <c r="E11" s="35">
        <v>4.2999999999999997E-2</v>
      </c>
      <c r="F11" s="35">
        <v>6.0000000000000001E-3</v>
      </c>
      <c r="G11" s="5">
        <f t="shared" si="0"/>
        <v>2.6999999999999996E-2</v>
      </c>
      <c r="H11" s="12">
        <f t="shared" si="1"/>
        <v>-3.6119184129778081</v>
      </c>
    </row>
    <row r="12" spans="1:8" x14ac:dyDescent="0.35">
      <c r="A12" s="11">
        <v>9</v>
      </c>
      <c r="B12" s="32" t="s">
        <v>39</v>
      </c>
      <c r="C12" s="33" t="s">
        <v>40</v>
      </c>
      <c r="D12" s="4">
        <v>-28</v>
      </c>
      <c r="E12" s="35">
        <v>3.5000000000000003E-2</v>
      </c>
      <c r="F12" s="35">
        <v>5.0000000000000001E-3</v>
      </c>
      <c r="G12" s="5">
        <f t="shared" si="0"/>
        <v>1.9000000000000003E-2</v>
      </c>
      <c r="H12" s="12">
        <f t="shared" si="1"/>
        <v>-3.9633162998156966</v>
      </c>
    </row>
    <row r="13" spans="1:8" x14ac:dyDescent="0.35">
      <c r="A13" s="11">
        <v>10</v>
      </c>
      <c r="B13" s="32" t="s">
        <v>41</v>
      </c>
      <c r="C13" s="33" t="s">
        <v>42</v>
      </c>
      <c r="D13" s="4">
        <v>-32</v>
      </c>
      <c r="E13" s="35">
        <v>4.5999999999999999E-2</v>
      </c>
      <c r="F13" s="35">
        <v>6.0000000000000001E-3</v>
      </c>
      <c r="G13" s="5">
        <f t="shared" si="0"/>
        <v>0.03</v>
      </c>
      <c r="H13" s="12">
        <f t="shared" si="1"/>
        <v>-3.5065578973199818</v>
      </c>
    </row>
    <row r="14" spans="1:8" x14ac:dyDescent="0.35">
      <c r="A14" s="11">
        <v>11</v>
      </c>
      <c r="B14" s="32" t="s">
        <v>43</v>
      </c>
      <c r="C14" s="33" t="s">
        <v>44</v>
      </c>
      <c r="D14" s="4">
        <v>-38</v>
      </c>
      <c r="E14" s="35">
        <v>2.8000000000000001E-2</v>
      </c>
      <c r="F14" s="35">
        <v>4.0000000000000001E-3</v>
      </c>
      <c r="G14" s="5">
        <f t="shared" si="0"/>
        <v>1.2E-2</v>
      </c>
      <c r="H14" s="12">
        <f t="shared" si="1"/>
        <v>-4.4228486291941369</v>
      </c>
    </row>
    <row r="15" spans="1:8" x14ac:dyDescent="0.35">
      <c r="A15" s="11">
        <v>12</v>
      </c>
      <c r="B15" s="32" t="s">
        <v>45</v>
      </c>
      <c r="C15" s="33" t="s">
        <v>46</v>
      </c>
      <c r="D15" s="4">
        <v>-48</v>
      </c>
      <c r="E15" s="35">
        <v>1.6E-2</v>
      </c>
      <c r="F15" s="35">
        <v>2E-3</v>
      </c>
      <c r="G15" s="5">
        <f t="shared" si="0"/>
        <v>0</v>
      </c>
      <c r="H15" s="12"/>
    </row>
    <row r="16" spans="1:8" x14ac:dyDescent="0.35">
      <c r="A16" s="11">
        <v>13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14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15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16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17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18</v>
      </c>
      <c r="B21" s="31"/>
      <c r="C21" s="31"/>
      <c r="D21" s="4"/>
      <c r="E21" s="5"/>
      <c r="F21" s="5"/>
      <c r="G21" s="5"/>
      <c r="H21" s="12"/>
    </row>
    <row r="22" spans="1:18" x14ac:dyDescent="0.35">
      <c r="A22" s="11">
        <v>19</v>
      </c>
      <c r="B22" s="31"/>
      <c r="C22" s="31"/>
      <c r="D22" s="4"/>
      <c r="E22" s="5"/>
      <c r="F22" s="5"/>
      <c r="G22" s="5"/>
      <c r="H22" s="12"/>
    </row>
    <row r="23" spans="1:18" ht="15" thickBot="1" x14ac:dyDescent="0.4">
      <c r="A23" s="13">
        <v>20</v>
      </c>
      <c r="B23" s="14"/>
      <c r="C23" s="14"/>
      <c r="D23" s="14"/>
      <c r="E23" s="14"/>
      <c r="F23" s="14"/>
      <c r="G23" s="28"/>
      <c r="H23" s="29"/>
    </row>
    <row r="24" spans="1:18" ht="15" thickBot="1" x14ac:dyDescent="0.4"/>
    <row r="25" spans="1:18" ht="15" thickBot="1" x14ac:dyDescent="0.4">
      <c r="B25" s="6" t="s">
        <v>8</v>
      </c>
      <c r="C25" s="7"/>
      <c r="D25" s="7"/>
      <c r="E25" s="27">
        <f>E15</f>
        <v>1.6E-2</v>
      </c>
    </row>
    <row r="26" spans="1:18" ht="15" thickBot="1" x14ac:dyDescent="0.4"/>
    <row r="27" spans="1:18" ht="15" thickBot="1" x14ac:dyDescent="0.4">
      <c r="B27" s="1" t="s">
        <v>47</v>
      </c>
      <c r="H27" s="1" t="s">
        <v>7</v>
      </c>
      <c r="I27" s="1"/>
      <c r="J27" s="1">
        <f>LN(2)/22.3</f>
        <v>3.1082833208966154E-2</v>
      </c>
      <c r="M27" s="20" t="s">
        <v>21</v>
      </c>
      <c r="N27" s="15"/>
      <c r="O27" s="16"/>
      <c r="Q27">
        <v>5</v>
      </c>
      <c r="R27">
        <f>2023.75-(5/O28)</f>
        <v>2014.3807830783724</v>
      </c>
    </row>
    <row r="28" spans="1:18" x14ac:dyDescent="0.35">
      <c r="B28" s="2"/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  <c r="H28" s="2" t="s">
        <v>14</v>
      </c>
      <c r="I28" s="2" t="s">
        <v>15</v>
      </c>
      <c r="J28" s="2" t="s">
        <v>16</v>
      </c>
      <c r="M28" s="21" t="s">
        <v>20</v>
      </c>
      <c r="N28" s="18"/>
      <c r="O28" s="22">
        <f>J27/C30</f>
        <v>0.53366252930467606</v>
      </c>
      <c r="Q28">
        <v>45</v>
      </c>
      <c r="R28">
        <f>2023.75-(45/O28)</f>
        <v>1939.4270477053508</v>
      </c>
    </row>
    <row r="29" spans="1:18" x14ac:dyDescent="0.35">
      <c r="C29" s="36">
        <v>-2.08347777225607</v>
      </c>
      <c r="D29" s="36">
        <v>0.14278097153156669</v>
      </c>
      <c r="E29" s="36">
        <v>-14.592124916277411</v>
      </c>
      <c r="F29" s="36">
        <v>1.4329515582450308E-7</v>
      </c>
      <c r="G29" s="36">
        <v>-2.4064707697174903</v>
      </c>
      <c r="H29" s="36">
        <v>-1.7604847747946497</v>
      </c>
      <c r="I29" s="36">
        <v>-2.4064707697174903</v>
      </c>
      <c r="J29" s="36">
        <v>-1.7604847747946497</v>
      </c>
      <c r="M29" s="23" t="s">
        <v>18</v>
      </c>
      <c r="N29" s="19"/>
      <c r="O29" s="12">
        <f>J27/G30</f>
        <v>0.7289562660416895</v>
      </c>
    </row>
    <row r="30" spans="1:18" ht="15" thickBot="1" x14ac:dyDescent="0.4">
      <c r="B30" s="3"/>
      <c r="C30" s="37">
        <v>5.8244361374715316E-2</v>
      </c>
      <c r="D30" s="37">
        <v>6.8979168580046348E-3</v>
      </c>
      <c r="E30" s="37">
        <v>8.4437610040379205</v>
      </c>
      <c r="F30" s="37">
        <v>1.4343785758043753E-5</v>
      </c>
      <c r="G30" s="37">
        <v>4.2640189345993638E-2</v>
      </c>
      <c r="H30" s="37">
        <v>7.3848533403436986E-2</v>
      </c>
      <c r="I30" s="37">
        <v>4.2640189345993638E-2</v>
      </c>
      <c r="J30" s="37">
        <v>7.3848533403436986E-2</v>
      </c>
      <c r="M30" s="17" t="s">
        <v>19</v>
      </c>
      <c r="N30" s="24"/>
      <c r="O30" s="25">
        <f>J27/H30</f>
        <v>0.42089980364484159</v>
      </c>
    </row>
    <row r="32" spans="1:18" x14ac:dyDescent="0.35">
      <c r="O32" s="1" t="s">
        <v>95</v>
      </c>
      <c r="P32" s="1"/>
      <c r="Q32" s="1">
        <f>1/O28</f>
        <v>1.8738433843255364</v>
      </c>
    </row>
    <row r="34" spans="3:12" x14ac:dyDescent="0.35"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spans="3:12" x14ac:dyDescent="0.35">
      <c r="C35" s="38"/>
      <c r="D35" s="38"/>
      <c r="E35" s="38"/>
      <c r="F35" s="38"/>
      <c r="G35" s="38"/>
      <c r="H35" s="38"/>
      <c r="I35" s="38"/>
      <c r="J35" s="38"/>
      <c r="K35" s="38"/>
      <c r="L35" s="38"/>
    </row>
    <row r="36" spans="3:12" x14ac:dyDescent="0.35">
      <c r="C36" s="39"/>
      <c r="D36" s="39"/>
      <c r="E36" s="38"/>
      <c r="F36" s="38"/>
      <c r="G36" s="38"/>
      <c r="H36" s="38"/>
      <c r="I36" s="38"/>
      <c r="J36" s="38"/>
      <c r="K36" s="38"/>
      <c r="L36" s="38"/>
    </row>
    <row r="37" spans="3:12" x14ac:dyDescent="0.35">
      <c r="C37" s="36"/>
      <c r="D37" s="36"/>
      <c r="E37" s="38"/>
      <c r="F37" s="38"/>
      <c r="G37" s="38"/>
      <c r="H37" s="38"/>
      <c r="I37" s="38"/>
      <c r="J37" s="38"/>
      <c r="K37" s="38"/>
      <c r="L37" s="38"/>
    </row>
    <row r="38" spans="3:12" x14ac:dyDescent="0.35">
      <c r="C38" s="36"/>
      <c r="D38" s="36"/>
      <c r="E38" s="38"/>
      <c r="F38" s="38"/>
      <c r="G38" s="38"/>
      <c r="H38" s="38"/>
      <c r="I38" s="38"/>
      <c r="J38" s="38"/>
      <c r="K38" s="38"/>
      <c r="L38" s="38"/>
    </row>
    <row r="39" spans="3:12" x14ac:dyDescent="0.35">
      <c r="C39" s="36"/>
      <c r="D39" s="36"/>
      <c r="E39" s="38"/>
      <c r="F39" s="38"/>
      <c r="G39" s="38"/>
      <c r="H39" s="38"/>
      <c r="I39" s="38"/>
      <c r="J39" s="38"/>
      <c r="K39" s="38"/>
      <c r="L39" s="38"/>
    </row>
    <row r="40" spans="3:12" x14ac:dyDescent="0.35">
      <c r="C40" s="36"/>
      <c r="D40" s="36"/>
      <c r="E40" s="38"/>
      <c r="F40" s="38"/>
      <c r="G40" s="38"/>
      <c r="H40" s="38"/>
      <c r="I40" s="38"/>
      <c r="J40" s="38"/>
      <c r="K40" s="38"/>
      <c r="L40" s="38"/>
    </row>
    <row r="41" spans="3:12" x14ac:dyDescent="0.35">
      <c r="C41" s="36"/>
      <c r="D41" s="36"/>
      <c r="E41" s="38"/>
      <c r="F41" s="38"/>
      <c r="G41" s="38"/>
      <c r="H41" s="38"/>
      <c r="I41" s="38"/>
      <c r="J41" s="38"/>
      <c r="K41" s="38"/>
      <c r="L41" s="38"/>
    </row>
    <row r="42" spans="3:12" x14ac:dyDescent="0.35">
      <c r="C42" s="38"/>
      <c r="D42" s="38"/>
      <c r="E42" s="38"/>
      <c r="F42" s="38"/>
      <c r="G42" s="38"/>
      <c r="H42" s="38"/>
      <c r="I42" s="38"/>
      <c r="J42" s="38"/>
      <c r="K42" s="38"/>
      <c r="L42" s="38"/>
    </row>
    <row r="43" spans="3:12" x14ac:dyDescent="0.35">
      <c r="C43" s="38"/>
      <c r="D43" s="38"/>
      <c r="E43" s="38"/>
      <c r="F43" s="38"/>
      <c r="G43" s="38"/>
      <c r="H43" s="38"/>
      <c r="I43" s="38"/>
      <c r="J43" s="38"/>
      <c r="K43" s="38"/>
      <c r="L43" s="38"/>
    </row>
    <row r="44" spans="3:12" x14ac:dyDescent="0.35">
      <c r="C44" s="40"/>
      <c r="D44" s="40"/>
      <c r="E44" s="40"/>
      <c r="F44" s="40"/>
      <c r="G44" s="40"/>
      <c r="H44" s="40"/>
      <c r="I44" s="38"/>
      <c r="J44" s="38"/>
      <c r="K44" s="38"/>
      <c r="L44" s="38"/>
    </row>
    <row r="45" spans="3:12" x14ac:dyDescent="0.35">
      <c r="C45" s="36"/>
      <c r="D45" s="36"/>
      <c r="E45" s="36"/>
      <c r="F45" s="36"/>
      <c r="G45" s="36"/>
      <c r="H45" s="36"/>
      <c r="I45" s="38"/>
      <c r="J45" s="38"/>
      <c r="K45" s="38"/>
      <c r="L45" s="38"/>
    </row>
    <row r="46" spans="3:12" x14ac:dyDescent="0.35">
      <c r="C46" s="36"/>
      <c r="D46" s="36"/>
      <c r="E46" s="36"/>
      <c r="F46" s="36"/>
      <c r="G46" s="36"/>
      <c r="H46" s="36"/>
      <c r="I46" s="38"/>
      <c r="J46" s="38"/>
      <c r="K46" s="38"/>
      <c r="L46" s="38"/>
    </row>
    <row r="47" spans="3:12" x14ac:dyDescent="0.35">
      <c r="C47" s="36"/>
      <c r="D47" s="36"/>
      <c r="E47" s="36"/>
      <c r="F47" s="36"/>
      <c r="G47" s="36"/>
      <c r="H47" s="36"/>
      <c r="I47" s="38"/>
      <c r="J47" s="38"/>
      <c r="K47" s="38"/>
      <c r="L47" s="38"/>
    </row>
    <row r="48" spans="3:12" x14ac:dyDescent="0.35">
      <c r="C48" s="38"/>
      <c r="D48" s="38"/>
      <c r="E48" s="38"/>
      <c r="F48" s="38"/>
      <c r="G48" s="38"/>
      <c r="H48" s="38"/>
      <c r="I48" s="38"/>
      <c r="J48" s="38"/>
      <c r="K48" s="38"/>
      <c r="L48" s="38"/>
    </row>
    <row r="49" spans="3:12" x14ac:dyDescent="0.35">
      <c r="C49" s="40"/>
      <c r="D49" s="40"/>
      <c r="E49" s="40"/>
      <c r="F49" s="40"/>
      <c r="G49" s="40"/>
      <c r="H49" s="40"/>
      <c r="I49" s="40"/>
      <c r="J49" s="40"/>
      <c r="K49" s="40"/>
      <c r="L49" s="38"/>
    </row>
    <row r="50" spans="3:12" x14ac:dyDescent="0.35">
      <c r="C50" s="36"/>
      <c r="D50" s="36"/>
      <c r="E50" s="36"/>
      <c r="F50" s="36"/>
      <c r="G50" s="36"/>
      <c r="H50" s="36"/>
      <c r="I50" s="36"/>
      <c r="J50" s="36"/>
      <c r="K50" s="36"/>
      <c r="L50" s="38"/>
    </row>
    <row r="51" spans="3:12" x14ac:dyDescent="0.35">
      <c r="C51" s="36"/>
      <c r="D51" s="36"/>
      <c r="E51" s="36"/>
      <c r="F51" s="36"/>
      <c r="G51" s="36"/>
      <c r="H51" s="36"/>
      <c r="I51" s="36"/>
      <c r="J51" s="36"/>
      <c r="K51" s="36"/>
      <c r="L51" s="38"/>
    </row>
  </sheetData>
  <phoneticPr fontId="3" type="noConversion"/>
  <conditionalFormatting sqref="C17">
    <cfRule type="duplicateValues" dxfId="7" priority="2"/>
  </conditionalFormatting>
  <pageMargins left="0.7" right="0.7" top="0.75" bottom="0.75" header="0.3" footer="0.3"/>
  <pageSetup paperSize="9" scale="53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8A5A0-9E57-419E-9B39-E3AFD8E11B79}">
  <sheetPr>
    <pageSetUpPr fitToPage="1"/>
  </sheetPr>
  <dimension ref="A1:R51"/>
  <sheetViews>
    <sheetView topLeftCell="I17" workbookViewId="0">
      <selection activeCell="R29" sqref="R29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</cols>
  <sheetData>
    <row r="1" spans="1:8" ht="15" thickBot="1" x14ac:dyDescent="0.4">
      <c r="A1" s="6" t="s">
        <v>17</v>
      </c>
      <c r="B1" s="7"/>
      <c r="C1" s="26" t="s">
        <v>48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49</v>
      </c>
      <c r="C4" s="33" t="s">
        <v>50</v>
      </c>
      <c r="D4" s="30">
        <v>-1</v>
      </c>
      <c r="E4" s="34">
        <v>0.12</v>
      </c>
      <c r="F4" s="34">
        <v>2.0000000000000004E-2</v>
      </c>
      <c r="G4" s="5">
        <f>E4-0.015</f>
        <v>0.105</v>
      </c>
      <c r="H4" s="12">
        <f>LN(G4)</f>
        <v>-2.2537949288246137</v>
      </c>
    </row>
    <row r="5" spans="1:8" x14ac:dyDescent="0.35">
      <c r="A5" s="11">
        <v>2</v>
      </c>
      <c r="B5" s="32" t="s">
        <v>51</v>
      </c>
      <c r="C5" s="41" t="s">
        <v>52</v>
      </c>
      <c r="D5" s="30">
        <v>-3</v>
      </c>
      <c r="E5" s="34">
        <v>0.14000000000000001</v>
      </c>
      <c r="F5" s="34">
        <v>2.0000000000000004E-2</v>
      </c>
      <c r="G5" s="5">
        <f t="shared" ref="G5:G15" si="0">E5-0.015</f>
        <v>0.125</v>
      </c>
      <c r="H5" s="12">
        <f t="shared" ref="H5:H14" si="1">LN(G5)</f>
        <v>-2.0794415416798357</v>
      </c>
    </row>
    <row r="6" spans="1:8" x14ac:dyDescent="0.35">
      <c r="A6" s="11">
        <v>3</v>
      </c>
      <c r="B6" s="32" t="s">
        <v>53</v>
      </c>
      <c r="C6" s="41" t="s">
        <v>54</v>
      </c>
      <c r="D6" s="30">
        <v>-5</v>
      </c>
      <c r="E6" s="34">
        <v>0.13</v>
      </c>
      <c r="F6" s="34">
        <v>2.0000000000000004E-2</v>
      </c>
      <c r="G6" s="5">
        <f t="shared" si="0"/>
        <v>0.115</v>
      </c>
      <c r="H6" s="12">
        <f t="shared" si="1"/>
        <v>-2.1628231506188871</v>
      </c>
    </row>
    <row r="7" spans="1:8" x14ac:dyDescent="0.35">
      <c r="A7" s="11">
        <v>4</v>
      </c>
      <c r="B7" s="32" t="s">
        <v>55</v>
      </c>
      <c r="C7" s="41" t="s">
        <v>56</v>
      </c>
      <c r="D7" s="30">
        <v>-9</v>
      </c>
      <c r="E7" s="34">
        <v>0.11</v>
      </c>
      <c r="F7" s="34">
        <v>1.0000000000000002E-2</v>
      </c>
      <c r="G7" s="5">
        <f t="shared" si="0"/>
        <v>9.5000000000000001E-2</v>
      </c>
      <c r="H7" s="12">
        <f t="shared" si="1"/>
        <v>-2.353878387381596</v>
      </c>
    </row>
    <row r="8" spans="1:8" x14ac:dyDescent="0.35">
      <c r="A8" s="11">
        <v>5</v>
      </c>
      <c r="B8" s="32" t="s">
        <v>57</v>
      </c>
      <c r="C8" s="41" t="s">
        <v>58</v>
      </c>
      <c r="D8" s="30">
        <v>-13</v>
      </c>
      <c r="E8" s="34">
        <v>0.11</v>
      </c>
      <c r="F8" s="34">
        <v>1.0000000000000002E-2</v>
      </c>
      <c r="G8" s="5">
        <f t="shared" si="0"/>
        <v>9.5000000000000001E-2</v>
      </c>
      <c r="H8" s="12">
        <f t="shared" si="1"/>
        <v>-2.353878387381596</v>
      </c>
    </row>
    <row r="9" spans="1:8" x14ac:dyDescent="0.35">
      <c r="A9" s="11">
        <v>6</v>
      </c>
      <c r="B9" s="32" t="s">
        <v>59</v>
      </c>
      <c r="C9" s="41" t="s">
        <v>60</v>
      </c>
      <c r="D9" s="4">
        <v>-17</v>
      </c>
      <c r="E9" s="35">
        <v>0.1</v>
      </c>
      <c r="F9" s="35">
        <v>1.0000000000000002E-2</v>
      </c>
      <c r="G9" s="5">
        <f t="shared" si="0"/>
        <v>8.5000000000000006E-2</v>
      </c>
      <c r="H9" s="12">
        <f t="shared" si="1"/>
        <v>-2.4651040224918206</v>
      </c>
    </row>
    <row r="10" spans="1:8" x14ac:dyDescent="0.35">
      <c r="A10" s="11">
        <v>7</v>
      </c>
      <c r="B10" s="32" t="s">
        <v>61</v>
      </c>
      <c r="C10" s="41" t="s">
        <v>62</v>
      </c>
      <c r="D10" s="4">
        <v>-21</v>
      </c>
      <c r="E10" s="35">
        <v>0.09</v>
      </c>
      <c r="F10" s="35">
        <v>1.0000000000000002E-2</v>
      </c>
      <c r="G10" s="5">
        <f t="shared" si="0"/>
        <v>7.4999999999999997E-2</v>
      </c>
      <c r="H10" s="12">
        <f t="shared" si="1"/>
        <v>-2.5902671654458267</v>
      </c>
    </row>
    <row r="11" spans="1:8" x14ac:dyDescent="0.35">
      <c r="A11" s="11">
        <v>8</v>
      </c>
      <c r="B11" s="32" t="s">
        <v>63</v>
      </c>
      <c r="C11" s="41" t="s">
        <v>64</v>
      </c>
      <c r="D11" s="4">
        <v>-25</v>
      </c>
      <c r="E11" s="35">
        <v>7.0000000000000007E-2</v>
      </c>
      <c r="F11" s="35">
        <v>1.0000000000000002E-2</v>
      </c>
      <c r="G11" s="5">
        <f t="shared" si="0"/>
        <v>5.5000000000000007E-2</v>
      </c>
      <c r="H11" s="12">
        <f t="shared" si="1"/>
        <v>-2.9004220937496661</v>
      </c>
    </row>
    <row r="12" spans="1:8" x14ac:dyDescent="0.35">
      <c r="A12" s="11">
        <v>9</v>
      </c>
      <c r="B12" s="32" t="s">
        <v>65</v>
      </c>
      <c r="C12" s="41" t="s">
        <v>66</v>
      </c>
      <c r="D12" s="4">
        <v>-29</v>
      </c>
      <c r="E12" s="35">
        <v>4.3999999999999997E-2</v>
      </c>
      <c r="F12" s="35">
        <v>6.0000000000000001E-3</v>
      </c>
      <c r="G12" s="5">
        <f t="shared" si="0"/>
        <v>2.8999999999999998E-2</v>
      </c>
      <c r="H12" s="12">
        <f t="shared" si="1"/>
        <v>-3.5404594489956631</v>
      </c>
    </row>
    <row r="13" spans="1:8" x14ac:dyDescent="0.35">
      <c r="A13" s="11">
        <v>10</v>
      </c>
      <c r="B13" s="32" t="s">
        <v>67</v>
      </c>
      <c r="C13" s="41" t="s">
        <v>68</v>
      </c>
      <c r="D13" s="4">
        <v>-33</v>
      </c>
      <c r="E13" s="35">
        <v>3.5999999999999997E-2</v>
      </c>
      <c r="F13" s="35">
        <v>5.0000000000000001E-3</v>
      </c>
      <c r="G13" s="5">
        <f t="shared" si="0"/>
        <v>2.0999999999999998E-2</v>
      </c>
      <c r="H13" s="12">
        <f t="shared" si="1"/>
        <v>-3.8632328412587142</v>
      </c>
    </row>
    <row r="14" spans="1:8" x14ac:dyDescent="0.35">
      <c r="A14" s="11">
        <v>11</v>
      </c>
      <c r="B14" s="32" t="s">
        <v>69</v>
      </c>
      <c r="C14" s="41" t="s">
        <v>70</v>
      </c>
      <c r="D14" s="4">
        <v>-39</v>
      </c>
      <c r="E14" s="35">
        <v>3.6999999999999998E-2</v>
      </c>
      <c r="F14" s="35">
        <v>5.0000000000000001E-3</v>
      </c>
      <c r="G14" s="5">
        <f t="shared" si="0"/>
        <v>2.1999999999999999E-2</v>
      </c>
      <c r="H14" s="12">
        <f t="shared" si="1"/>
        <v>-3.8167128256238212</v>
      </c>
    </row>
    <row r="15" spans="1:8" x14ac:dyDescent="0.35">
      <c r="A15" s="11">
        <v>12</v>
      </c>
      <c r="B15" s="32" t="s">
        <v>71</v>
      </c>
      <c r="C15" s="41" t="s">
        <v>72</v>
      </c>
      <c r="D15" s="4">
        <v>-49</v>
      </c>
      <c r="E15" s="35">
        <v>1.4999999999999999E-2</v>
      </c>
      <c r="F15" s="35">
        <v>2E-3</v>
      </c>
      <c r="G15" s="5">
        <f t="shared" si="0"/>
        <v>0</v>
      </c>
      <c r="H15" s="12"/>
    </row>
    <row r="16" spans="1:8" x14ac:dyDescent="0.35">
      <c r="A16" s="11">
        <v>13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14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15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16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17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18</v>
      </c>
      <c r="B21" s="31"/>
      <c r="C21" s="31"/>
      <c r="D21" s="4"/>
      <c r="E21" s="5"/>
      <c r="F21" s="5"/>
      <c r="G21" s="5"/>
      <c r="H21" s="12"/>
    </row>
    <row r="22" spans="1:18" x14ac:dyDescent="0.35">
      <c r="A22" s="11">
        <v>19</v>
      </c>
      <c r="B22" s="31"/>
      <c r="C22" s="31"/>
      <c r="D22" s="4"/>
      <c r="E22" s="5"/>
      <c r="F22" s="5"/>
      <c r="G22" s="5"/>
      <c r="H22" s="12"/>
    </row>
    <row r="23" spans="1:18" ht="15" thickBot="1" x14ac:dyDescent="0.4">
      <c r="A23" s="13">
        <v>20</v>
      </c>
      <c r="B23" s="14"/>
      <c r="C23" s="14"/>
      <c r="D23" s="14"/>
      <c r="E23" s="14"/>
      <c r="F23" s="14"/>
      <c r="G23" s="28"/>
      <c r="H23" s="29"/>
    </row>
    <row r="24" spans="1:18" ht="15" thickBot="1" x14ac:dyDescent="0.4"/>
    <row r="25" spans="1:18" ht="15" thickBot="1" x14ac:dyDescent="0.4">
      <c r="B25" s="6" t="s">
        <v>8</v>
      </c>
      <c r="C25" s="7"/>
      <c r="D25" s="7"/>
      <c r="E25" s="27">
        <f>E15</f>
        <v>1.4999999999999999E-2</v>
      </c>
    </row>
    <row r="26" spans="1:18" ht="15" thickBot="1" x14ac:dyDescent="0.4"/>
    <row r="27" spans="1:18" ht="15" thickBot="1" x14ac:dyDescent="0.4">
      <c r="B27" s="1" t="s">
        <v>47</v>
      </c>
      <c r="H27" s="1" t="s">
        <v>7</v>
      </c>
      <c r="I27" s="1"/>
      <c r="J27" s="1">
        <f>LN(2)/22.3</f>
        <v>3.1082833208966154E-2</v>
      </c>
      <c r="M27" s="20" t="s">
        <v>21</v>
      </c>
      <c r="N27" s="15"/>
      <c r="O27" s="16"/>
    </row>
    <row r="28" spans="1:18" x14ac:dyDescent="0.35">
      <c r="B28" s="2"/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  <c r="H28" s="2" t="s">
        <v>14</v>
      </c>
      <c r="I28" s="2" t="s">
        <v>15</v>
      </c>
      <c r="J28" s="2" t="s">
        <v>16</v>
      </c>
      <c r="M28" s="21" t="s">
        <v>20</v>
      </c>
      <c r="N28" s="18"/>
      <c r="O28" s="22">
        <f>J27/C30</f>
        <v>0.63208136210501265</v>
      </c>
      <c r="Q28">
        <v>5</v>
      </c>
      <c r="R28">
        <f>2023.75-(4/O28)</f>
        <v>2017.4217007654222</v>
      </c>
    </row>
    <row r="29" spans="1:18" x14ac:dyDescent="0.35">
      <c r="C29" s="36">
        <v>-1.8900743772925144</v>
      </c>
      <c r="D29" s="36">
        <v>0.12943819861935379</v>
      </c>
      <c r="E29" s="36">
        <v>-14.602137525497884</v>
      </c>
      <c r="F29" s="36">
        <v>1.4244568006860457E-7</v>
      </c>
      <c r="G29" s="36">
        <v>-2.1828839254389822</v>
      </c>
      <c r="H29" s="36">
        <v>-1.5972648291460465</v>
      </c>
      <c r="I29" s="36">
        <v>-2.1828839254389822</v>
      </c>
      <c r="J29" s="36">
        <v>-1.5972648291460465</v>
      </c>
      <c r="M29" s="23" t="s">
        <v>18</v>
      </c>
      <c r="N29" s="19"/>
      <c r="O29" s="12">
        <f>J27/G30</f>
        <v>0.87398037481287538</v>
      </c>
      <c r="Q29">
        <v>45</v>
      </c>
      <c r="R29">
        <f>2023.75-(45/O28)</f>
        <v>1952.5566336110005</v>
      </c>
    </row>
    <row r="30" spans="1:18" ht="15" thickBot="1" x14ac:dyDescent="0.4">
      <c r="B30" s="3"/>
      <c r="C30" s="37">
        <v>4.917536740120193E-2</v>
      </c>
      <c r="D30" s="37">
        <v>6.0166847156553644E-3</v>
      </c>
      <c r="E30" s="37">
        <v>8.1731667396910499</v>
      </c>
      <c r="F30" s="37">
        <v>1.8646477251843809E-5</v>
      </c>
      <c r="G30" s="37">
        <v>3.5564680975383664E-2</v>
      </c>
      <c r="H30" s="37">
        <v>6.2786053827020197E-2</v>
      </c>
      <c r="I30" s="37">
        <v>3.5564680975383664E-2</v>
      </c>
      <c r="J30" s="37">
        <v>6.2786053827020197E-2</v>
      </c>
      <c r="M30" s="17" t="s">
        <v>19</v>
      </c>
      <c r="N30" s="24"/>
      <c r="O30" s="25">
        <f>J27/H30</f>
        <v>0.49505951265230735</v>
      </c>
    </row>
    <row r="32" spans="1:18" x14ac:dyDescent="0.35">
      <c r="O32" s="1" t="s">
        <v>95</v>
      </c>
      <c r="P32" s="1"/>
      <c r="Q32" s="1">
        <f>1/O28</f>
        <v>1.5820748086444323</v>
      </c>
    </row>
    <row r="34" spans="3:12" x14ac:dyDescent="0.35"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spans="3:12" x14ac:dyDescent="0.35">
      <c r="C35" s="38"/>
      <c r="D35" s="38"/>
      <c r="E35" s="38"/>
      <c r="F35" s="38"/>
      <c r="G35" s="38"/>
      <c r="H35" s="38"/>
      <c r="I35" s="38"/>
      <c r="J35" s="38"/>
      <c r="K35" s="38"/>
      <c r="L35" s="38"/>
    </row>
    <row r="36" spans="3:12" x14ac:dyDescent="0.35">
      <c r="C36" s="39"/>
      <c r="D36" s="39"/>
      <c r="E36" s="38"/>
      <c r="F36" s="38"/>
      <c r="G36" s="38"/>
      <c r="H36" s="38"/>
      <c r="I36" s="38"/>
      <c r="J36" s="38"/>
      <c r="K36" s="38"/>
      <c r="L36" s="38"/>
    </row>
    <row r="37" spans="3:12" x14ac:dyDescent="0.35">
      <c r="C37" s="36"/>
      <c r="D37" s="36"/>
      <c r="E37" s="38"/>
      <c r="F37" s="38"/>
      <c r="G37" s="38"/>
      <c r="H37" s="38"/>
      <c r="I37" s="38"/>
      <c r="J37" s="38"/>
      <c r="K37" s="38"/>
      <c r="L37" s="38"/>
    </row>
    <row r="38" spans="3:12" x14ac:dyDescent="0.35">
      <c r="C38" s="36"/>
      <c r="D38" s="36"/>
      <c r="E38" s="38"/>
      <c r="F38" s="38"/>
      <c r="G38" s="38"/>
      <c r="H38" s="38"/>
      <c r="I38" s="38"/>
      <c r="J38" s="38"/>
      <c r="K38" s="38"/>
      <c r="L38" s="38"/>
    </row>
    <row r="39" spans="3:12" x14ac:dyDescent="0.35">
      <c r="C39" s="36"/>
      <c r="D39" s="36"/>
      <c r="E39" s="38"/>
      <c r="F39" s="38"/>
      <c r="G39" s="38"/>
      <c r="H39" s="38"/>
      <c r="I39" s="38"/>
      <c r="J39" s="38"/>
      <c r="K39" s="38"/>
      <c r="L39" s="38"/>
    </row>
    <row r="40" spans="3:12" x14ac:dyDescent="0.35">
      <c r="C40" s="36"/>
      <c r="D40" s="36"/>
      <c r="E40" s="38"/>
      <c r="F40" s="38"/>
      <c r="G40" s="38"/>
      <c r="H40" s="38"/>
      <c r="I40" s="38"/>
      <c r="J40" s="38"/>
      <c r="K40" s="38"/>
      <c r="L40" s="38"/>
    </row>
    <row r="41" spans="3:12" x14ac:dyDescent="0.35">
      <c r="C41" s="36"/>
      <c r="D41" s="36"/>
      <c r="E41" s="38"/>
      <c r="F41" s="38"/>
      <c r="G41" s="38"/>
      <c r="H41" s="38"/>
      <c r="I41" s="38"/>
      <c r="J41" s="38"/>
      <c r="K41" s="38"/>
      <c r="L41" s="38"/>
    </row>
    <row r="42" spans="3:12" x14ac:dyDescent="0.35">
      <c r="C42" s="38"/>
      <c r="D42" s="38"/>
      <c r="E42" s="38"/>
      <c r="F42" s="38"/>
      <c r="G42" s="38"/>
      <c r="H42" s="38"/>
      <c r="I42" s="38"/>
      <c r="J42" s="38"/>
      <c r="K42" s="38"/>
      <c r="L42" s="38"/>
    </row>
    <row r="43" spans="3:12" x14ac:dyDescent="0.35">
      <c r="C43" s="38"/>
      <c r="D43" s="38"/>
      <c r="E43" s="38"/>
      <c r="F43" s="38"/>
      <c r="G43" s="38"/>
      <c r="H43" s="38"/>
      <c r="I43" s="38"/>
      <c r="J43" s="38"/>
      <c r="K43" s="38"/>
      <c r="L43" s="38"/>
    </row>
    <row r="44" spans="3:12" x14ac:dyDescent="0.35">
      <c r="C44" s="40"/>
      <c r="D44" s="40"/>
      <c r="E44" s="40"/>
      <c r="F44" s="40"/>
      <c r="G44" s="40"/>
      <c r="H44" s="40"/>
      <c r="I44" s="38"/>
      <c r="J44" s="38"/>
      <c r="K44" s="38"/>
      <c r="L44" s="38"/>
    </row>
    <row r="45" spans="3:12" x14ac:dyDescent="0.35">
      <c r="C45" s="36"/>
      <c r="D45" s="36"/>
      <c r="E45" s="36"/>
      <c r="F45" s="36"/>
      <c r="G45" s="36"/>
      <c r="H45" s="36"/>
      <c r="I45" s="38"/>
      <c r="J45" s="38"/>
      <c r="K45" s="38"/>
      <c r="L45" s="38"/>
    </row>
    <row r="46" spans="3:12" x14ac:dyDescent="0.35">
      <c r="C46" s="36"/>
      <c r="D46" s="36"/>
      <c r="E46" s="36"/>
      <c r="F46" s="36"/>
      <c r="G46" s="36"/>
      <c r="H46" s="36"/>
      <c r="I46" s="38"/>
      <c r="J46" s="38"/>
      <c r="K46" s="38"/>
      <c r="L46" s="38"/>
    </row>
    <row r="47" spans="3:12" x14ac:dyDescent="0.35">
      <c r="C47" s="36"/>
      <c r="D47" s="36"/>
      <c r="E47" s="36"/>
      <c r="F47" s="36"/>
      <c r="G47" s="36"/>
      <c r="H47" s="36"/>
      <c r="I47" s="38"/>
      <c r="J47" s="38"/>
      <c r="K47" s="38"/>
      <c r="L47" s="38"/>
    </row>
    <row r="48" spans="3:12" x14ac:dyDescent="0.35">
      <c r="C48" s="38"/>
      <c r="D48" s="38"/>
      <c r="E48" s="38"/>
      <c r="F48" s="38"/>
      <c r="G48" s="38"/>
      <c r="H48" s="38"/>
      <c r="I48" s="38"/>
      <c r="J48" s="38"/>
      <c r="K48" s="38"/>
      <c r="L48" s="38"/>
    </row>
    <row r="49" spans="3:12" x14ac:dyDescent="0.35">
      <c r="C49" s="40"/>
      <c r="D49" s="40"/>
      <c r="E49" s="40"/>
      <c r="F49" s="40"/>
      <c r="G49" s="40"/>
      <c r="H49" s="40"/>
      <c r="I49" s="40"/>
      <c r="J49" s="40"/>
      <c r="K49" s="40"/>
      <c r="L49" s="38"/>
    </row>
    <row r="50" spans="3:12" x14ac:dyDescent="0.35">
      <c r="C50" s="36"/>
      <c r="D50" s="36"/>
      <c r="E50" s="36"/>
      <c r="F50" s="36"/>
      <c r="G50" s="36"/>
      <c r="H50" s="36"/>
      <c r="I50" s="36"/>
      <c r="J50" s="36"/>
      <c r="K50" s="36"/>
      <c r="L50" s="38"/>
    </row>
    <row r="51" spans="3:12" x14ac:dyDescent="0.35">
      <c r="C51" s="36"/>
      <c r="D51" s="36"/>
      <c r="E51" s="36"/>
      <c r="F51" s="36"/>
      <c r="G51" s="36"/>
      <c r="H51" s="36"/>
      <c r="I51" s="36"/>
      <c r="J51" s="36"/>
      <c r="K51" s="36"/>
      <c r="L51" s="38"/>
    </row>
  </sheetData>
  <conditionalFormatting sqref="C17">
    <cfRule type="duplicateValues" dxfId="6" priority="1"/>
  </conditionalFormatting>
  <pageMargins left="0.7" right="0.7" top="0.75" bottom="0.75" header="0.3" footer="0.3"/>
  <pageSetup paperSize="9" scale="53" orientation="landscape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819BF-3A02-4670-974A-52962E3C0C81}">
  <sheetPr>
    <pageSetUpPr fitToPage="1"/>
  </sheetPr>
  <dimension ref="A1:S49"/>
  <sheetViews>
    <sheetView topLeftCell="K13" workbookViewId="0">
      <selection activeCell="P28" sqref="P28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5" max="15" width="8.81640625" customWidth="1"/>
  </cols>
  <sheetData>
    <row r="1" spans="1:8" ht="15" thickBot="1" x14ac:dyDescent="0.4">
      <c r="A1" s="6" t="s">
        <v>17</v>
      </c>
      <c r="B1" s="7"/>
      <c r="C1" s="26" t="s">
        <v>73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74</v>
      </c>
      <c r="C4" s="33" t="s">
        <v>75</v>
      </c>
      <c r="D4" s="30">
        <v>-1</v>
      </c>
      <c r="E4" s="34">
        <v>6.9000000000000006E-2</v>
      </c>
      <c r="F4" s="34">
        <v>8.9999999999999993E-3</v>
      </c>
      <c r="G4" s="5">
        <f>E4-0.008</f>
        <v>6.1000000000000006E-2</v>
      </c>
      <c r="H4" s="12">
        <f>LN(G4)</f>
        <v>-2.7968814148088259</v>
      </c>
    </row>
    <row r="5" spans="1:8" x14ac:dyDescent="0.35">
      <c r="A5" s="11">
        <v>2</v>
      </c>
      <c r="B5" s="32" t="s">
        <v>76</v>
      </c>
      <c r="C5" s="33" t="s">
        <v>77</v>
      </c>
      <c r="D5" s="30">
        <v>-6</v>
      </c>
      <c r="E5" s="34">
        <v>1.0999999999999999E-2</v>
      </c>
      <c r="F5" s="34">
        <v>2E-3</v>
      </c>
      <c r="G5" s="5">
        <f t="shared" ref="G5:G13" si="0">E5-0.008</f>
        <v>2.9999999999999992E-3</v>
      </c>
      <c r="H5" s="12">
        <f t="shared" ref="H5" si="1">LN(G5)</f>
        <v>-5.8091429903140277</v>
      </c>
    </row>
    <row r="6" spans="1:8" x14ac:dyDescent="0.35">
      <c r="A6" s="11">
        <v>3</v>
      </c>
      <c r="B6" s="32" t="s">
        <v>78</v>
      </c>
      <c r="C6" s="33" t="s">
        <v>79</v>
      </c>
      <c r="D6" s="30">
        <v>-10</v>
      </c>
      <c r="E6" s="34">
        <v>7.0000000000000001E-3</v>
      </c>
      <c r="F6" s="34">
        <v>1E-3</v>
      </c>
      <c r="G6" s="5">
        <f t="shared" si="0"/>
        <v>-1E-3</v>
      </c>
      <c r="H6" s="12"/>
    </row>
    <row r="7" spans="1:8" x14ac:dyDescent="0.35">
      <c r="A7" s="11">
        <v>4</v>
      </c>
      <c r="B7" s="32" t="s">
        <v>80</v>
      </c>
      <c r="C7" s="33" t="s">
        <v>81</v>
      </c>
      <c r="D7" s="30">
        <v>-14</v>
      </c>
      <c r="E7" s="34">
        <v>8.9999999999999993E-3</v>
      </c>
      <c r="F7" s="34">
        <v>1E-3</v>
      </c>
      <c r="G7" s="5">
        <f t="shared" si="0"/>
        <v>9.9999999999999915E-4</v>
      </c>
      <c r="H7" s="12"/>
    </row>
    <row r="8" spans="1:8" x14ac:dyDescent="0.35">
      <c r="A8" s="11">
        <v>5</v>
      </c>
      <c r="B8" s="32" t="s">
        <v>82</v>
      </c>
      <c r="C8" s="33" t="s">
        <v>83</v>
      </c>
      <c r="D8" s="30">
        <v>-18</v>
      </c>
      <c r="E8" s="34">
        <v>7.0000000000000001E-3</v>
      </c>
      <c r="F8" s="34">
        <v>1E-3</v>
      </c>
      <c r="G8" s="5">
        <f t="shared" si="0"/>
        <v>-1E-3</v>
      </c>
      <c r="H8" s="12"/>
    </row>
    <row r="9" spans="1:8" x14ac:dyDescent="0.35">
      <c r="A9" s="11">
        <v>6</v>
      </c>
      <c r="B9" s="32" t="s">
        <v>84</v>
      </c>
      <c r="C9" s="33" t="s">
        <v>85</v>
      </c>
      <c r="D9" s="4">
        <v>-24</v>
      </c>
      <c r="E9" s="35">
        <v>8.0000000000000002E-3</v>
      </c>
      <c r="F9" s="35">
        <v>1E-3</v>
      </c>
      <c r="G9" s="5">
        <f t="shared" si="0"/>
        <v>0</v>
      </c>
      <c r="H9" s="12"/>
    </row>
    <row r="10" spans="1:8" x14ac:dyDescent="0.35">
      <c r="A10" s="11">
        <v>7</v>
      </c>
      <c r="B10" s="32" t="s">
        <v>86</v>
      </c>
      <c r="C10" s="33" t="s">
        <v>87</v>
      </c>
      <c r="D10" s="4">
        <v>-30</v>
      </c>
      <c r="E10" s="35">
        <v>1.0999999999999999E-2</v>
      </c>
      <c r="F10" s="35">
        <v>2E-3</v>
      </c>
      <c r="G10" s="5">
        <f t="shared" si="0"/>
        <v>2.9999999999999992E-3</v>
      </c>
      <c r="H10" s="12"/>
    </row>
    <row r="11" spans="1:8" x14ac:dyDescent="0.35">
      <c r="A11" s="11">
        <v>8</v>
      </c>
      <c r="B11" s="32" t="s">
        <v>88</v>
      </c>
      <c r="C11" s="33" t="s">
        <v>89</v>
      </c>
      <c r="D11" s="4">
        <v>-36</v>
      </c>
      <c r="E11" s="35">
        <v>0.01</v>
      </c>
      <c r="F11" s="35">
        <v>1E-3</v>
      </c>
      <c r="G11" s="5">
        <f t="shared" si="0"/>
        <v>2E-3</v>
      </c>
      <c r="H11" s="12"/>
    </row>
    <row r="12" spans="1:8" x14ac:dyDescent="0.35">
      <c r="A12" s="11">
        <v>9</v>
      </c>
      <c r="B12" s="32" t="s">
        <v>90</v>
      </c>
      <c r="C12" s="33" t="s">
        <v>91</v>
      </c>
      <c r="D12" s="4">
        <v>-42</v>
      </c>
      <c r="E12" s="35">
        <v>8.9999999999999993E-3</v>
      </c>
      <c r="F12" s="35">
        <v>1E-3</v>
      </c>
      <c r="G12" s="5">
        <f t="shared" si="0"/>
        <v>9.9999999999999915E-4</v>
      </c>
      <c r="H12" s="12"/>
    </row>
    <row r="13" spans="1:8" x14ac:dyDescent="0.35">
      <c r="A13" s="11">
        <v>10</v>
      </c>
      <c r="B13" s="32" t="s">
        <v>92</v>
      </c>
      <c r="C13" s="33" t="s">
        <v>93</v>
      </c>
      <c r="D13" s="4">
        <v>-48</v>
      </c>
      <c r="E13" s="35">
        <v>7.0000000000000001E-3</v>
      </c>
      <c r="F13" s="35">
        <v>1E-3</v>
      </c>
      <c r="G13" s="5">
        <f t="shared" si="0"/>
        <v>-1E-3</v>
      </c>
      <c r="H13" s="12"/>
    </row>
    <row r="14" spans="1:8" x14ac:dyDescent="0.35">
      <c r="A14" s="11">
        <v>13</v>
      </c>
      <c r="B14" s="31"/>
      <c r="C14" s="31"/>
      <c r="D14" s="4"/>
      <c r="E14" s="5"/>
      <c r="F14" s="5"/>
      <c r="G14" s="5"/>
      <c r="H14" s="12"/>
    </row>
    <row r="15" spans="1:8" x14ac:dyDescent="0.35">
      <c r="A15" s="11">
        <v>14</v>
      </c>
      <c r="B15" s="31"/>
      <c r="C15" s="31"/>
      <c r="D15" s="4"/>
      <c r="E15" s="5"/>
      <c r="F15" s="5"/>
      <c r="G15" s="5"/>
      <c r="H15" s="12"/>
    </row>
    <row r="16" spans="1:8" x14ac:dyDescent="0.35">
      <c r="A16" s="11">
        <v>15</v>
      </c>
      <c r="B16" s="31"/>
      <c r="C16" s="31"/>
      <c r="D16" s="4"/>
      <c r="E16" s="5"/>
      <c r="F16" s="5"/>
      <c r="G16" s="5"/>
      <c r="H16" s="12"/>
    </row>
    <row r="17" spans="1:19" x14ac:dyDescent="0.35">
      <c r="A17" s="11">
        <v>16</v>
      </c>
      <c r="B17" s="31"/>
      <c r="C17" s="31"/>
      <c r="D17" s="4"/>
      <c r="E17" s="5"/>
      <c r="F17" s="5"/>
      <c r="G17" s="5"/>
      <c r="H17" s="12"/>
    </row>
    <row r="18" spans="1:19" x14ac:dyDescent="0.35">
      <c r="A18" s="11">
        <v>17</v>
      </c>
      <c r="B18" s="31"/>
      <c r="C18" s="31"/>
      <c r="D18" s="4"/>
      <c r="E18" s="5"/>
      <c r="F18" s="5"/>
      <c r="G18" s="5"/>
      <c r="H18" s="12"/>
    </row>
    <row r="19" spans="1:19" x14ac:dyDescent="0.35">
      <c r="A19" s="11">
        <v>18</v>
      </c>
      <c r="B19" s="31"/>
      <c r="C19" s="31"/>
      <c r="D19" s="4"/>
      <c r="E19" s="5"/>
      <c r="F19" s="5"/>
      <c r="G19" s="5"/>
      <c r="H19" s="12"/>
    </row>
    <row r="20" spans="1:19" x14ac:dyDescent="0.35">
      <c r="A20" s="11">
        <v>19</v>
      </c>
      <c r="B20" s="31"/>
      <c r="C20" s="31"/>
      <c r="D20" s="4"/>
      <c r="E20" s="5"/>
      <c r="F20" s="5"/>
      <c r="G20" s="5"/>
      <c r="H20" s="12"/>
    </row>
    <row r="21" spans="1:19" ht="15" thickBot="1" x14ac:dyDescent="0.4">
      <c r="A21" s="13">
        <v>20</v>
      </c>
      <c r="B21" s="14"/>
      <c r="C21" s="14"/>
      <c r="D21" s="14"/>
      <c r="E21" s="14"/>
      <c r="F21" s="14"/>
      <c r="G21" s="28"/>
      <c r="H21" s="29"/>
    </row>
    <row r="22" spans="1:19" ht="15" thickBot="1" x14ac:dyDescent="0.4"/>
    <row r="23" spans="1:19" ht="15" thickBot="1" x14ac:dyDescent="0.4">
      <c r="B23" s="6" t="s">
        <v>8</v>
      </c>
      <c r="C23" s="7"/>
      <c r="D23" s="7"/>
      <c r="E23" s="27">
        <v>8.0000000000000002E-3</v>
      </c>
    </row>
    <row r="24" spans="1:19" ht="15" thickBot="1" x14ac:dyDescent="0.4"/>
    <row r="25" spans="1:19" x14ac:dyDescent="0.35">
      <c r="B25" s="1" t="s">
        <v>94</v>
      </c>
      <c r="H25" s="1"/>
      <c r="I25" s="1"/>
      <c r="J25" s="1"/>
      <c r="M25" s="20" t="s">
        <v>21</v>
      </c>
      <c r="N25" s="15"/>
      <c r="O25" s="16"/>
      <c r="R25">
        <v>5</v>
      </c>
      <c r="S25">
        <f>2023.75-(5/0.1)</f>
        <v>1973.75</v>
      </c>
    </row>
    <row r="26" spans="1:19" x14ac:dyDescent="0.35">
      <c r="B26" s="42"/>
      <c r="C26" s="42"/>
      <c r="D26" s="42"/>
      <c r="E26" s="42"/>
      <c r="F26" s="42"/>
      <c r="G26" s="42"/>
      <c r="H26" s="42"/>
      <c r="I26" s="42"/>
      <c r="J26" s="42"/>
      <c r="M26" s="21" t="s">
        <v>20</v>
      </c>
      <c r="N26" s="18"/>
      <c r="O26" s="22" t="e">
        <f>J25/C28</f>
        <v>#DIV/0!</v>
      </c>
      <c r="R26">
        <v>89</v>
      </c>
      <c r="S26">
        <f>2023.75-(89/0.1)</f>
        <v>1133.75</v>
      </c>
    </row>
    <row r="27" spans="1:19" x14ac:dyDescent="0.35">
      <c r="B27" s="38"/>
      <c r="C27" s="36"/>
      <c r="D27" s="36"/>
      <c r="E27" s="36"/>
      <c r="F27" s="36"/>
      <c r="G27" s="36"/>
      <c r="H27" s="36"/>
      <c r="I27" s="36"/>
      <c r="J27" s="36"/>
      <c r="M27" s="23" t="s">
        <v>18</v>
      </c>
      <c r="N27" s="19"/>
      <c r="O27" s="12" t="e">
        <f>J25/G28</f>
        <v>#DIV/0!</v>
      </c>
    </row>
    <row r="28" spans="1:19" ht="15" thickBot="1" x14ac:dyDescent="0.4">
      <c r="B28" s="38"/>
      <c r="C28" s="36"/>
      <c r="D28" s="36"/>
      <c r="E28" s="36"/>
      <c r="F28" s="36"/>
      <c r="G28" s="36"/>
      <c r="H28" s="36"/>
      <c r="I28" s="36"/>
      <c r="J28" s="36"/>
      <c r="M28" s="17" t="s">
        <v>19</v>
      </c>
      <c r="N28" s="24"/>
      <c r="O28" s="25" t="e">
        <f>J25/H28</f>
        <v>#DIV/0!</v>
      </c>
    </row>
    <row r="30" spans="1:19" x14ac:dyDescent="0.35">
      <c r="O30" s="1" t="s">
        <v>95</v>
      </c>
      <c r="Q30">
        <f>1/0.1</f>
        <v>10</v>
      </c>
    </row>
    <row r="32" spans="1:19" x14ac:dyDescent="0.35">
      <c r="C32" s="38"/>
      <c r="D32" s="38"/>
      <c r="E32" s="38"/>
      <c r="F32" s="38"/>
      <c r="G32" s="38"/>
      <c r="H32" s="38"/>
      <c r="I32" s="38"/>
      <c r="J32" s="38"/>
      <c r="K32" s="38"/>
      <c r="L32" s="38"/>
    </row>
    <row r="33" spans="3:12" x14ac:dyDescent="0.35">
      <c r="C33" s="38"/>
      <c r="D33" s="38"/>
      <c r="E33" s="38"/>
      <c r="F33" s="38"/>
      <c r="G33" s="38"/>
      <c r="H33" s="38"/>
      <c r="I33" s="38"/>
      <c r="J33" s="38"/>
      <c r="K33" s="38"/>
      <c r="L33" s="38"/>
    </row>
    <row r="34" spans="3:12" x14ac:dyDescent="0.35">
      <c r="C34" s="39"/>
      <c r="D34" s="39"/>
      <c r="E34" s="38"/>
      <c r="F34" s="38"/>
      <c r="G34" s="38"/>
      <c r="H34" s="38"/>
      <c r="I34" s="38"/>
      <c r="J34" s="38"/>
      <c r="K34" s="38"/>
      <c r="L34" s="38"/>
    </row>
    <row r="35" spans="3:12" x14ac:dyDescent="0.35">
      <c r="C35" s="36"/>
      <c r="D35" s="36"/>
      <c r="E35" s="38"/>
      <c r="F35" s="38"/>
      <c r="G35" s="38"/>
      <c r="H35" s="38"/>
      <c r="I35" s="38"/>
      <c r="J35" s="38"/>
      <c r="K35" s="38"/>
      <c r="L35" s="38"/>
    </row>
    <row r="36" spans="3:12" x14ac:dyDescent="0.35">
      <c r="C36" s="36"/>
      <c r="D36" s="36"/>
      <c r="E36" s="38"/>
      <c r="F36" s="38"/>
      <c r="G36" s="38"/>
      <c r="H36" s="38"/>
      <c r="I36" s="38"/>
      <c r="J36" s="38"/>
      <c r="K36" s="38"/>
      <c r="L36" s="38"/>
    </row>
    <row r="37" spans="3:12" x14ac:dyDescent="0.35">
      <c r="C37" s="36"/>
      <c r="D37" s="36"/>
      <c r="E37" s="38"/>
      <c r="F37" s="38"/>
      <c r="G37" s="38"/>
      <c r="H37" s="38"/>
      <c r="I37" s="38"/>
      <c r="J37" s="38"/>
      <c r="K37" s="38"/>
      <c r="L37" s="38"/>
    </row>
    <row r="38" spans="3:12" x14ac:dyDescent="0.35">
      <c r="C38" s="36"/>
      <c r="D38" s="36"/>
      <c r="E38" s="38"/>
      <c r="F38" s="38"/>
      <c r="G38" s="38"/>
      <c r="H38" s="38"/>
      <c r="I38" s="38"/>
      <c r="J38" s="38"/>
      <c r="K38" s="38"/>
      <c r="L38" s="38"/>
    </row>
    <row r="39" spans="3:12" x14ac:dyDescent="0.35">
      <c r="C39" s="36"/>
      <c r="D39" s="36"/>
      <c r="E39" s="38"/>
      <c r="F39" s="38"/>
      <c r="G39" s="38"/>
      <c r="H39" s="38"/>
      <c r="I39" s="38"/>
      <c r="J39" s="38"/>
      <c r="K39" s="38"/>
      <c r="L39" s="38"/>
    </row>
    <row r="40" spans="3:12" x14ac:dyDescent="0.35">
      <c r="C40" s="38"/>
      <c r="D40" s="38"/>
      <c r="E40" s="38"/>
      <c r="F40" s="38"/>
      <c r="G40" s="38"/>
      <c r="H40" s="38"/>
      <c r="I40" s="38"/>
      <c r="J40" s="38"/>
      <c r="K40" s="38"/>
      <c r="L40" s="38"/>
    </row>
    <row r="41" spans="3:12" x14ac:dyDescent="0.35">
      <c r="C41" s="38"/>
      <c r="D41" s="38"/>
      <c r="E41" s="38"/>
      <c r="F41" s="38"/>
      <c r="G41" s="38"/>
      <c r="H41" s="38"/>
      <c r="I41" s="38"/>
      <c r="J41" s="38"/>
      <c r="K41" s="38"/>
      <c r="L41" s="38"/>
    </row>
    <row r="42" spans="3:12" x14ac:dyDescent="0.35">
      <c r="C42" s="40"/>
      <c r="D42" s="40"/>
      <c r="E42" s="40"/>
      <c r="F42" s="40"/>
      <c r="G42" s="40"/>
      <c r="H42" s="40"/>
      <c r="I42" s="38"/>
      <c r="J42" s="38"/>
      <c r="K42" s="38"/>
      <c r="L42" s="38"/>
    </row>
    <row r="43" spans="3:12" x14ac:dyDescent="0.35">
      <c r="C43" s="36"/>
      <c r="D43" s="36"/>
      <c r="E43" s="36"/>
      <c r="F43" s="36"/>
      <c r="G43" s="36"/>
      <c r="H43" s="36"/>
      <c r="I43" s="38"/>
      <c r="J43" s="38"/>
      <c r="K43" s="38"/>
      <c r="L43" s="38"/>
    </row>
    <row r="44" spans="3:12" x14ac:dyDescent="0.35">
      <c r="C44" s="36"/>
      <c r="D44" s="36"/>
      <c r="E44" s="36"/>
      <c r="F44" s="36"/>
      <c r="G44" s="36"/>
      <c r="H44" s="36"/>
      <c r="I44" s="38"/>
      <c r="J44" s="38"/>
      <c r="K44" s="38"/>
      <c r="L44" s="38"/>
    </row>
    <row r="45" spans="3:12" x14ac:dyDescent="0.35">
      <c r="C45" s="36"/>
      <c r="D45" s="36"/>
      <c r="E45" s="36"/>
      <c r="F45" s="36"/>
      <c r="G45" s="36"/>
      <c r="H45" s="36"/>
      <c r="I45" s="38"/>
      <c r="J45" s="38"/>
      <c r="K45" s="38"/>
      <c r="L45" s="38"/>
    </row>
    <row r="46" spans="3:12" x14ac:dyDescent="0.35">
      <c r="C46" s="38"/>
      <c r="D46" s="38"/>
      <c r="E46" s="38"/>
      <c r="F46" s="38"/>
      <c r="G46" s="38"/>
      <c r="H46" s="38"/>
      <c r="I46" s="38"/>
      <c r="J46" s="38"/>
      <c r="K46" s="38"/>
      <c r="L46" s="38"/>
    </row>
    <row r="47" spans="3:12" x14ac:dyDescent="0.35">
      <c r="C47" s="40"/>
      <c r="D47" s="40"/>
      <c r="E47" s="40"/>
      <c r="F47" s="40"/>
      <c r="G47" s="40"/>
      <c r="H47" s="40"/>
      <c r="I47" s="40"/>
      <c r="J47" s="40"/>
      <c r="K47" s="40"/>
      <c r="L47" s="38"/>
    </row>
    <row r="48" spans="3:12" x14ac:dyDescent="0.35">
      <c r="C48" s="36"/>
      <c r="D48" s="36"/>
      <c r="E48" s="36"/>
      <c r="F48" s="36"/>
      <c r="G48" s="36"/>
      <c r="H48" s="36"/>
      <c r="I48" s="36"/>
      <c r="J48" s="36"/>
      <c r="K48" s="36"/>
      <c r="L48" s="38"/>
    </row>
    <row r="49" spans="3:12" x14ac:dyDescent="0.35">
      <c r="C49" s="36"/>
      <c r="D49" s="36"/>
      <c r="E49" s="36"/>
      <c r="F49" s="36"/>
      <c r="G49" s="36"/>
      <c r="H49" s="36"/>
      <c r="I49" s="36"/>
      <c r="J49" s="36"/>
      <c r="K49" s="36"/>
      <c r="L49" s="38"/>
    </row>
  </sheetData>
  <conditionalFormatting sqref="C15">
    <cfRule type="duplicateValues" dxfId="5" priority="1"/>
  </conditionalFormatting>
  <pageMargins left="0.7" right="0.7" top="0.75" bottom="0.75" header="0.3" footer="0.3"/>
  <pageSetup paperSize="9" scale="53" orientation="landscape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49646E-7C54-4E86-9E66-8F61AB5638D3}">
  <dimension ref="A1:R51"/>
  <sheetViews>
    <sheetView topLeftCell="A5" workbookViewId="0">
      <selection activeCell="Q29" sqref="Q29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8" max="18" width="10" bestFit="1" customWidth="1"/>
  </cols>
  <sheetData>
    <row r="1" spans="1:8" ht="15" thickBot="1" x14ac:dyDescent="0.4">
      <c r="A1" s="6" t="s">
        <v>17</v>
      </c>
      <c r="B1" s="7"/>
      <c r="C1" s="26" t="s">
        <v>134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110</v>
      </c>
      <c r="C4" s="33" t="s">
        <v>122</v>
      </c>
      <c r="D4" s="30">
        <v>-1</v>
      </c>
      <c r="E4" s="34">
        <v>0.11</v>
      </c>
      <c r="F4" s="34">
        <v>1.0000000000000002E-2</v>
      </c>
      <c r="G4" s="5">
        <v>8.4000000000000005E-2</v>
      </c>
      <c r="H4" s="12">
        <f>LN(G4)</f>
        <v>-2.4769384801388235</v>
      </c>
    </row>
    <row r="5" spans="1:8" x14ac:dyDescent="0.35">
      <c r="A5" s="11">
        <v>2</v>
      </c>
      <c r="B5" s="32" t="s">
        <v>111</v>
      </c>
      <c r="C5" s="33" t="s">
        <v>123</v>
      </c>
      <c r="D5" s="30">
        <v>-2</v>
      </c>
      <c r="E5" s="34">
        <v>0.11</v>
      </c>
      <c r="F5" s="34">
        <v>1.0000000000000002E-2</v>
      </c>
      <c r="G5" s="5">
        <v>8.4000000000000005E-2</v>
      </c>
      <c r="H5" s="12">
        <f t="shared" ref="H5:H13" si="0">LN(G5)</f>
        <v>-2.4769384801388235</v>
      </c>
    </row>
    <row r="6" spans="1:8" x14ac:dyDescent="0.35">
      <c r="A6" s="11">
        <v>3</v>
      </c>
      <c r="B6" s="32" t="s">
        <v>112</v>
      </c>
      <c r="C6" s="33" t="s">
        <v>124</v>
      </c>
      <c r="D6" s="30">
        <v>-3</v>
      </c>
      <c r="E6" s="34">
        <v>0.13</v>
      </c>
      <c r="F6" s="34">
        <v>2.0000000000000004E-2</v>
      </c>
      <c r="G6" s="5">
        <v>0.10400000000000001</v>
      </c>
      <c r="H6" s="12">
        <f t="shared" si="0"/>
        <v>-2.2633643798407643</v>
      </c>
    </row>
    <row r="7" spans="1:8" x14ac:dyDescent="0.35">
      <c r="A7" s="11">
        <v>4</v>
      </c>
      <c r="B7" s="32" t="s">
        <v>113</v>
      </c>
      <c r="C7" s="33" t="s">
        <v>125</v>
      </c>
      <c r="D7" s="30">
        <v>-4</v>
      </c>
      <c r="E7" s="34">
        <v>0.09</v>
      </c>
      <c r="F7" s="34">
        <v>1.0000000000000002E-2</v>
      </c>
      <c r="G7" s="5">
        <v>6.4000000000000001E-2</v>
      </c>
      <c r="H7" s="12">
        <f t="shared" si="0"/>
        <v>-2.7488721956224653</v>
      </c>
    </row>
    <row r="8" spans="1:8" x14ac:dyDescent="0.35">
      <c r="A8" s="11">
        <v>5</v>
      </c>
      <c r="B8" s="32" t="s">
        <v>114</v>
      </c>
      <c r="C8" s="33" t="s">
        <v>126</v>
      </c>
      <c r="D8" s="30">
        <v>-5</v>
      </c>
      <c r="E8" s="34">
        <v>0.08</v>
      </c>
      <c r="F8" s="34">
        <v>1.0000000000000002E-2</v>
      </c>
      <c r="G8" s="5">
        <v>5.4000000000000006E-2</v>
      </c>
      <c r="H8" s="12">
        <f t="shared" si="0"/>
        <v>-2.9187712324178627</v>
      </c>
    </row>
    <row r="9" spans="1:8" x14ac:dyDescent="0.35">
      <c r="A9" s="11">
        <v>6</v>
      </c>
      <c r="B9" s="32" t="s">
        <v>115</v>
      </c>
      <c r="C9" s="33" t="s">
        <v>127</v>
      </c>
      <c r="D9" s="4">
        <v>-7</v>
      </c>
      <c r="E9" s="35">
        <v>6.6000000000000003E-2</v>
      </c>
      <c r="F9" s="35">
        <v>9.0000000000000011E-3</v>
      </c>
      <c r="G9" s="5">
        <v>4.0000000000000008E-2</v>
      </c>
      <c r="H9" s="12">
        <f t="shared" si="0"/>
        <v>-3.2188758248682006</v>
      </c>
    </row>
    <row r="10" spans="1:8" x14ac:dyDescent="0.35">
      <c r="A10" s="11">
        <v>7</v>
      </c>
      <c r="B10" s="32" t="s">
        <v>116</v>
      </c>
      <c r="C10" s="33" t="s">
        <v>128</v>
      </c>
      <c r="D10" s="4">
        <v>-9</v>
      </c>
      <c r="E10" s="35">
        <v>4.8000000000000001E-2</v>
      </c>
      <c r="F10" s="35">
        <v>6.0000000000000001E-3</v>
      </c>
      <c r="G10" s="5">
        <v>2.2000000000000002E-2</v>
      </c>
      <c r="H10" s="12">
        <f t="shared" si="0"/>
        <v>-3.8167128256238212</v>
      </c>
    </row>
    <row r="11" spans="1:8" x14ac:dyDescent="0.35">
      <c r="A11" s="11">
        <v>8</v>
      </c>
      <c r="B11" s="32" t="s">
        <v>117</v>
      </c>
      <c r="C11" s="33" t="s">
        <v>129</v>
      </c>
      <c r="D11" s="4">
        <v>-11</v>
      </c>
      <c r="E11" s="35">
        <v>3.9E-2</v>
      </c>
      <c r="F11" s="35">
        <v>5.0000000000000001E-3</v>
      </c>
      <c r="G11" s="5">
        <v>1.3000000000000001E-2</v>
      </c>
      <c r="H11" s="12">
        <f t="shared" si="0"/>
        <v>-4.3428059215206005</v>
      </c>
    </row>
    <row r="12" spans="1:8" x14ac:dyDescent="0.35">
      <c r="A12" s="11">
        <v>9</v>
      </c>
      <c r="B12" s="32" t="s">
        <v>118</v>
      </c>
      <c r="C12" s="33" t="s">
        <v>130</v>
      </c>
      <c r="D12" s="4">
        <v>-13</v>
      </c>
      <c r="E12" s="35">
        <v>3.3000000000000002E-2</v>
      </c>
      <c r="F12" s="35">
        <v>4.0000000000000001E-3</v>
      </c>
      <c r="G12" s="5">
        <v>7.0000000000000027E-3</v>
      </c>
      <c r="H12" s="12">
        <f t="shared" si="0"/>
        <v>-4.9618451299268234</v>
      </c>
    </row>
    <row r="13" spans="1:8" x14ac:dyDescent="0.35">
      <c r="A13" s="11">
        <v>10</v>
      </c>
      <c r="B13" s="32" t="s">
        <v>119</v>
      </c>
      <c r="C13" s="33" t="s">
        <v>131</v>
      </c>
      <c r="D13" s="4">
        <v>-15</v>
      </c>
      <c r="E13" s="35">
        <v>2.7E-2</v>
      </c>
      <c r="F13" s="35">
        <v>4.0000000000000001E-3</v>
      </c>
      <c r="G13" s="5">
        <v>1.0000000000000009E-3</v>
      </c>
      <c r="H13" s="12">
        <f t="shared" si="0"/>
        <v>-6.9077552789821359</v>
      </c>
    </row>
    <row r="14" spans="1:8" x14ac:dyDescent="0.35">
      <c r="A14" s="11">
        <v>11</v>
      </c>
      <c r="B14" s="32" t="s">
        <v>120</v>
      </c>
      <c r="C14" s="33" t="s">
        <v>132</v>
      </c>
      <c r="D14" s="4">
        <v>-20</v>
      </c>
      <c r="E14" s="35">
        <v>2.5999999999999999E-2</v>
      </c>
      <c r="F14" s="35">
        <v>3.0000000000000001E-3</v>
      </c>
      <c r="G14" s="5">
        <v>0</v>
      </c>
      <c r="H14" s="12" t="e">
        <f>LN(G14)</f>
        <v>#NUM!</v>
      </c>
    </row>
    <row r="15" spans="1:8" x14ac:dyDescent="0.35">
      <c r="A15" s="11">
        <v>12</v>
      </c>
      <c r="B15" s="32" t="s">
        <v>121</v>
      </c>
      <c r="C15" s="33" t="s">
        <v>133</v>
      </c>
      <c r="D15" s="4">
        <v>-30</v>
      </c>
      <c r="E15" s="35">
        <v>2.5999999999999999E-2</v>
      </c>
      <c r="F15" s="35">
        <v>3.0000000000000001E-3</v>
      </c>
      <c r="G15" s="5">
        <v>0</v>
      </c>
      <c r="H15" s="12"/>
    </row>
    <row r="16" spans="1:8" x14ac:dyDescent="0.35">
      <c r="A16" s="11">
        <v>13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14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15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16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17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18</v>
      </c>
      <c r="B21" s="31"/>
      <c r="C21" s="31"/>
      <c r="D21" s="4"/>
      <c r="E21" s="5"/>
      <c r="F21" s="5"/>
      <c r="G21" s="5"/>
      <c r="H21" s="12"/>
    </row>
    <row r="22" spans="1:18" x14ac:dyDescent="0.35">
      <c r="A22" s="11">
        <v>19</v>
      </c>
      <c r="B22" s="31"/>
      <c r="C22" s="31"/>
      <c r="D22" s="4"/>
      <c r="E22" s="5"/>
      <c r="F22" s="5"/>
      <c r="G22" s="5"/>
      <c r="H22" s="12"/>
    </row>
    <row r="23" spans="1:18" ht="15" thickBot="1" x14ac:dyDescent="0.4">
      <c r="A23" s="13">
        <v>20</v>
      </c>
      <c r="B23" s="14"/>
      <c r="C23" s="14"/>
      <c r="D23" s="14"/>
      <c r="E23" s="14"/>
      <c r="F23" s="14"/>
      <c r="G23" s="28"/>
      <c r="H23" s="29"/>
    </row>
    <row r="24" spans="1:18" ht="15" thickBot="1" x14ac:dyDescent="0.4"/>
    <row r="25" spans="1:18" ht="15" thickBot="1" x14ac:dyDescent="0.4">
      <c r="B25" s="6" t="s">
        <v>8</v>
      </c>
      <c r="C25" s="7"/>
      <c r="D25" s="7"/>
      <c r="E25" s="27">
        <f>E15</f>
        <v>2.5999999999999999E-2</v>
      </c>
    </row>
    <row r="26" spans="1:18" ht="15" thickBot="1" x14ac:dyDescent="0.4"/>
    <row r="27" spans="1:18" ht="15" thickBot="1" x14ac:dyDescent="0.4">
      <c r="B27" s="1" t="s">
        <v>135</v>
      </c>
      <c r="H27" s="1" t="s">
        <v>7</v>
      </c>
      <c r="I27" s="1"/>
      <c r="J27" s="1">
        <f>LN(2)/22.3</f>
        <v>3.1082833208966154E-2</v>
      </c>
      <c r="M27" s="20" t="s">
        <v>21</v>
      </c>
      <c r="N27" s="15"/>
      <c r="O27" s="16"/>
      <c r="Q27">
        <v>5</v>
      </c>
      <c r="R27">
        <f>2023.75-(5/O28)</f>
        <v>1978.0550307704384</v>
      </c>
    </row>
    <row r="28" spans="1:18" x14ac:dyDescent="0.35">
      <c r="B28" s="2"/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  <c r="H28" s="2" t="s">
        <v>14</v>
      </c>
      <c r="I28" s="2" t="s">
        <v>15</v>
      </c>
      <c r="J28" s="2" t="s">
        <v>16</v>
      </c>
      <c r="M28" s="21" t="s">
        <v>20</v>
      </c>
      <c r="N28" s="18"/>
      <c r="O28" s="22">
        <f>J27/C30</f>
        <v>0.10942123573562507</v>
      </c>
      <c r="Q28">
        <v>70</v>
      </c>
      <c r="R28">
        <f>2023.75-(Q28/O28)</f>
        <v>1384.0204307861368</v>
      </c>
    </row>
    <row r="29" spans="1:18" x14ac:dyDescent="0.35">
      <c r="C29" s="36">
        <v>-1.6248272250362041</v>
      </c>
      <c r="D29" s="36">
        <v>0.2951052343989608</v>
      </c>
      <c r="E29" s="36">
        <v>-5.5059247876286594</v>
      </c>
      <c r="F29" s="36">
        <v>5.6974982309582504E-4</v>
      </c>
      <c r="G29" s="36">
        <v>-2.3053411158806028</v>
      </c>
      <c r="H29" s="36">
        <v>-0.94431333419180552</v>
      </c>
      <c r="I29" s="36">
        <v>-2.3053411158806028</v>
      </c>
      <c r="J29" s="36">
        <v>-0.94431333419180552</v>
      </c>
      <c r="M29" s="23" t="s">
        <v>18</v>
      </c>
      <c r="N29" s="19"/>
      <c r="O29" s="12">
        <f>J27/G30</f>
        <v>0.1533221963920588</v>
      </c>
    </row>
    <row r="30" spans="1:18" ht="15" thickBot="1" x14ac:dyDescent="0.4">
      <c r="B30" s="3"/>
      <c r="C30" s="37">
        <v>0.28406582141026115</v>
      </c>
      <c r="D30" s="37">
        <v>3.527182189179702E-2</v>
      </c>
      <c r="E30" s="37">
        <v>8.0536191830886068</v>
      </c>
      <c r="F30" s="37">
        <v>4.161681164529686E-5</v>
      </c>
      <c r="G30" s="37">
        <v>0.20272885427159237</v>
      </c>
      <c r="H30" s="37">
        <v>0.36540278854892994</v>
      </c>
      <c r="I30" s="37">
        <v>0.20272885427159237</v>
      </c>
      <c r="J30" s="37">
        <v>0.36540278854892994</v>
      </c>
      <c r="M30" s="17" t="s">
        <v>19</v>
      </c>
      <c r="N30" s="24"/>
      <c r="O30" s="25">
        <f>J27/H30</f>
        <v>8.5064575813449075E-2</v>
      </c>
    </row>
    <row r="32" spans="1:18" x14ac:dyDescent="0.35">
      <c r="O32" s="1" t="s">
        <v>95</v>
      </c>
      <c r="P32" s="1"/>
      <c r="Q32" s="1">
        <f>1/O28</f>
        <v>9.1389938459123314</v>
      </c>
    </row>
    <row r="34" spans="3:12" x14ac:dyDescent="0.35"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spans="3:12" x14ac:dyDescent="0.35">
      <c r="K35" s="38"/>
      <c r="L35" s="38"/>
    </row>
    <row r="36" spans="3:12" x14ac:dyDescent="0.35">
      <c r="L36" s="38"/>
    </row>
    <row r="37" spans="3:12" x14ac:dyDescent="0.35">
      <c r="L37" s="38"/>
    </row>
    <row r="38" spans="3:12" x14ac:dyDescent="0.35">
      <c r="L38" s="38"/>
    </row>
    <row r="39" spans="3:12" x14ac:dyDescent="0.35">
      <c r="L39" s="38"/>
    </row>
    <row r="40" spans="3:12" x14ac:dyDescent="0.35">
      <c r="L40" s="38"/>
    </row>
    <row r="41" spans="3:12" x14ac:dyDescent="0.35">
      <c r="L41" s="38"/>
    </row>
    <row r="42" spans="3:12" x14ac:dyDescent="0.35">
      <c r="L42" s="38"/>
    </row>
    <row r="43" spans="3:12" x14ac:dyDescent="0.35">
      <c r="L43" s="38"/>
    </row>
    <row r="44" spans="3:12" x14ac:dyDescent="0.35">
      <c r="L44" s="38"/>
    </row>
    <row r="45" spans="3:12" x14ac:dyDescent="0.35">
      <c r="L45" s="38"/>
    </row>
    <row r="46" spans="3:12" x14ac:dyDescent="0.35">
      <c r="L46" s="38"/>
    </row>
    <row r="47" spans="3:12" x14ac:dyDescent="0.35">
      <c r="L47" s="38"/>
    </row>
    <row r="48" spans="3:12" x14ac:dyDescent="0.35">
      <c r="L48" s="38"/>
    </row>
    <row r="49" spans="12:12" x14ac:dyDescent="0.35">
      <c r="L49" s="38"/>
    </row>
    <row r="50" spans="12:12" x14ac:dyDescent="0.35">
      <c r="L50" s="38"/>
    </row>
    <row r="51" spans="12:12" x14ac:dyDescent="0.35">
      <c r="L51" s="38"/>
    </row>
  </sheetData>
  <conditionalFormatting sqref="C17">
    <cfRule type="duplicateValues" dxfId="4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1979-D410-4E16-A8FB-6D15459C87C9}">
  <dimension ref="A1:R51"/>
  <sheetViews>
    <sheetView topLeftCell="A12" workbookViewId="0">
      <selection activeCell="G10" sqref="G10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8" max="18" width="12" bestFit="1" customWidth="1"/>
  </cols>
  <sheetData>
    <row r="1" spans="1:8" ht="15" thickBot="1" x14ac:dyDescent="0.4">
      <c r="A1" s="6" t="s">
        <v>17</v>
      </c>
      <c r="B1" s="7"/>
      <c r="C1" s="26" t="s">
        <v>136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137</v>
      </c>
      <c r="C4" s="33" t="s">
        <v>147</v>
      </c>
      <c r="D4" s="30">
        <v>-1.5</v>
      </c>
      <c r="E4" s="34">
        <v>6.4200616301366392E-2</v>
      </c>
      <c r="F4" s="34">
        <v>9.0177190445053217E-3</v>
      </c>
      <c r="G4" s="5">
        <v>2.5407511966066249E-2</v>
      </c>
      <c r="H4" s="12">
        <f>LN(G4)</f>
        <v>-3.6727104019865577</v>
      </c>
    </row>
    <row r="5" spans="1:8" x14ac:dyDescent="0.35">
      <c r="A5" s="11">
        <v>2</v>
      </c>
      <c r="B5" s="32" t="s">
        <v>138</v>
      </c>
      <c r="C5" s="33" t="s">
        <v>148</v>
      </c>
      <c r="D5" s="30">
        <v>-3.5</v>
      </c>
      <c r="E5" s="34">
        <v>7.449891999495023E-2</v>
      </c>
      <c r="F5" s="34">
        <v>1.0297603425869434E-2</v>
      </c>
      <c r="G5" s="5">
        <v>3.5705815659650086E-2</v>
      </c>
      <c r="H5" s="12">
        <f t="shared" ref="H5:H8" si="0">LN(G5)</f>
        <v>-3.3324416998322444</v>
      </c>
    </row>
    <row r="6" spans="1:8" x14ac:dyDescent="0.35">
      <c r="A6" s="11">
        <v>3</v>
      </c>
      <c r="B6" s="32" t="s">
        <v>139</v>
      </c>
      <c r="C6" s="33" t="s">
        <v>149</v>
      </c>
      <c r="D6" s="30">
        <v>-5.5</v>
      </c>
      <c r="E6" s="34">
        <v>4.9105675705806373E-2</v>
      </c>
      <c r="F6" s="34">
        <v>6.732908910713464E-3</v>
      </c>
      <c r="G6" s="5">
        <v>1.0312571370506229E-2</v>
      </c>
      <c r="H6" s="12">
        <f t="shared" si="0"/>
        <v>-4.5743916065689243</v>
      </c>
    </row>
    <row r="7" spans="1:8" x14ac:dyDescent="0.35">
      <c r="A7" s="11">
        <v>4</v>
      </c>
      <c r="B7" s="32" t="s">
        <v>140</v>
      </c>
      <c r="C7" s="33" t="s">
        <v>150</v>
      </c>
      <c r="D7" s="30">
        <v>-9.5</v>
      </c>
      <c r="E7" s="34">
        <v>5.0927059567377281E-2</v>
      </c>
      <c r="F7" s="34">
        <v>7.6496687443897756E-3</v>
      </c>
      <c r="G7" s="5">
        <v>1.2133955232077137E-2</v>
      </c>
      <c r="H7" s="12">
        <f t="shared" si="0"/>
        <v>-4.4117475389300917</v>
      </c>
    </row>
    <row r="8" spans="1:8" x14ac:dyDescent="0.35">
      <c r="A8" s="11">
        <v>5</v>
      </c>
      <c r="B8" s="32" t="s">
        <v>141</v>
      </c>
      <c r="C8" s="33" t="s">
        <v>151</v>
      </c>
      <c r="D8" s="30">
        <v>-15.5</v>
      </c>
      <c r="E8" s="34">
        <v>4.0167106764459552E-2</v>
      </c>
      <c r="F8" s="34">
        <v>6.0895647627580915E-3</v>
      </c>
      <c r="G8" s="5">
        <v>1.3740024291594101E-3</v>
      </c>
      <c r="H8" s="12">
        <f t="shared" si="0"/>
        <v>-6.5900273172363732</v>
      </c>
    </row>
    <row r="9" spans="1:8" x14ac:dyDescent="0.35">
      <c r="A9" s="11">
        <v>6</v>
      </c>
      <c r="B9" s="32" t="s">
        <v>142</v>
      </c>
      <c r="C9" s="33" t="s">
        <v>152</v>
      </c>
      <c r="D9" s="4">
        <v>-19.5</v>
      </c>
      <c r="E9" s="35">
        <v>3.8431538232805297E-2</v>
      </c>
      <c r="F9" s="35">
        <v>5.7873262448076166E-3</v>
      </c>
      <c r="G9" s="5"/>
      <c r="H9" s="12"/>
    </row>
    <row r="10" spans="1:8" x14ac:dyDescent="0.35">
      <c r="A10" s="11">
        <v>7</v>
      </c>
      <c r="B10" s="32" t="s">
        <v>143</v>
      </c>
      <c r="C10" s="33" t="s">
        <v>153</v>
      </c>
      <c r="D10" s="4">
        <v>-23.5</v>
      </c>
      <c r="E10" s="35">
        <v>3.8632406489259828E-2</v>
      </c>
      <c r="F10" s="35">
        <v>5.7983745426579856E-3</v>
      </c>
      <c r="G10" s="5"/>
      <c r="H10" s="12"/>
    </row>
    <row r="11" spans="1:8" x14ac:dyDescent="0.35">
      <c r="A11" s="11">
        <v>8</v>
      </c>
      <c r="B11" s="32" t="s">
        <v>144</v>
      </c>
      <c r="C11" s="33" t="s">
        <v>154</v>
      </c>
      <c r="D11" s="4">
        <v>-27.5</v>
      </c>
      <c r="E11" s="35">
        <v>4.2878052277780077E-2</v>
      </c>
      <c r="F11" s="35">
        <v>6.6998639978587292E-3</v>
      </c>
      <c r="G11" s="5"/>
      <c r="H11" s="12"/>
    </row>
    <row r="12" spans="1:8" x14ac:dyDescent="0.35">
      <c r="A12" s="11">
        <v>9</v>
      </c>
      <c r="B12" s="32" t="s">
        <v>145</v>
      </c>
      <c r="C12" s="33" t="s">
        <v>155</v>
      </c>
      <c r="D12" s="4">
        <v>-33.5</v>
      </c>
      <c r="E12" s="35">
        <v>3.509831292422174E-2</v>
      </c>
      <c r="F12" s="35">
        <v>5.4081654203054861E-3</v>
      </c>
      <c r="G12" s="5"/>
      <c r="H12" s="12"/>
    </row>
    <row r="13" spans="1:8" x14ac:dyDescent="0.35">
      <c r="A13" s="11">
        <v>10</v>
      </c>
      <c r="B13" s="32" t="s">
        <v>146</v>
      </c>
      <c r="C13" s="33" t="s">
        <v>156</v>
      </c>
      <c r="D13" s="4">
        <v>-39.5</v>
      </c>
      <c r="E13" s="35">
        <v>3.8925211752433755E-2</v>
      </c>
      <c r="F13" s="35">
        <v>5.8853103717624485E-3</v>
      </c>
      <c r="G13" s="5"/>
      <c r="H13" s="12"/>
    </row>
    <row r="14" spans="1:8" x14ac:dyDescent="0.35">
      <c r="A14" s="11">
        <v>11</v>
      </c>
      <c r="B14" s="32"/>
      <c r="C14" s="33"/>
      <c r="D14" s="4"/>
      <c r="E14" s="35"/>
      <c r="F14" s="35"/>
      <c r="G14" s="5"/>
      <c r="H14" s="12"/>
    </row>
    <row r="15" spans="1:8" x14ac:dyDescent="0.35">
      <c r="A15" s="11">
        <v>12</v>
      </c>
      <c r="B15" s="32"/>
      <c r="C15" s="33"/>
      <c r="D15" s="4"/>
      <c r="E15" s="35"/>
      <c r="F15" s="35"/>
      <c r="G15" s="5"/>
      <c r="H15" s="12"/>
    </row>
    <row r="16" spans="1:8" x14ac:dyDescent="0.35">
      <c r="A16" s="11">
        <v>13</v>
      </c>
      <c r="B16" s="31"/>
      <c r="C16" s="31"/>
      <c r="D16" s="4"/>
      <c r="E16" s="5"/>
      <c r="F16" s="35"/>
      <c r="G16" s="5"/>
      <c r="H16" s="12"/>
    </row>
    <row r="17" spans="1:18" x14ac:dyDescent="0.35">
      <c r="A17" s="11">
        <v>14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15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16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17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18</v>
      </c>
      <c r="B21" s="31"/>
      <c r="C21" s="31"/>
      <c r="D21" s="4"/>
      <c r="E21" s="5"/>
      <c r="F21" s="5"/>
      <c r="G21" s="5"/>
      <c r="H21" s="12"/>
    </row>
    <row r="22" spans="1:18" x14ac:dyDescent="0.35">
      <c r="A22" s="11">
        <v>19</v>
      </c>
      <c r="B22" s="31"/>
      <c r="C22" s="31"/>
      <c r="D22" s="4"/>
      <c r="E22" s="5"/>
      <c r="F22" s="5"/>
      <c r="G22" s="5"/>
      <c r="H22" s="12"/>
    </row>
    <row r="23" spans="1:18" ht="15" thickBot="1" x14ac:dyDescent="0.4">
      <c r="A23" s="13">
        <v>20</v>
      </c>
      <c r="B23" s="14"/>
      <c r="C23" s="14"/>
      <c r="D23" s="14"/>
      <c r="E23" s="14"/>
      <c r="F23" s="14"/>
      <c r="G23" s="28"/>
      <c r="H23" s="29"/>
    </row>
    <row r="24" spans="1:18" ht="15" thickBot="1" x14ac:dyDescent="0.4"/>
    <row r="25" spans="1:18" ht="15" thickBot="1" x14ac:dyDescent="0.4">
      <c r="B25" s="6" t="s">
        <v>8</v>
      </c>
      <c r="C25" s="7"/>
      <c r="D25" s="7"/>
      <c r="E25" s="27">
        <f>E15</f>
        <v>0</v>
      </c>
    </row>
    <row r="26" spans="1:18" ht="15" thickBot="1" x14ac:dyDescent="0.4"/>
    <row r="27" spans="1:18" ht="15" thickBot="1" x14ac:dyDescent="0.4">
      <c r="B27" s="1" t="s">
        <v>135</v>
      </c>
      <c r="H27" s="1" t="s">
        <v>7</v>
      </c>
      <c r="I27" s="1"/>
      <c r="J27" s="1">
        <f>LN(2)/22.3</f>
        <v>3.1082833208966154E-2</v>
      </c>
      <c r="M27" s="20" t="s">
        <v>21</v>
      </c>
      <c r="N27" s="15"/>
      <c r="O27" s="16"/>
      <c r="Q27">
        <v>5</v>
      </c>
      <c r="R27">
        <f>2024.75-(5/O28)</f>
        <v>1990.7219613520178</v>
      </c>
    </row>
    <row r="28" spans="1:18" x14ac:dyDescent="0.35">
      <c r="B28" s="2"/>
      <c r="C28" s="2" t="s">
        <v>9</v>
      </c>
      <c r="D28" s="2" t="s">
        <v>10</v>
      </c>
      <c r="E28" s="2" t="s">
        <v>11</v>
      </c>
      <c r="F28" s="2" t="s">
        <v>12</v>
      </c>
      <c r="G28" s="2" t="s">
        <v>13</v>
      </c>
      <c r="H28" s="2" t="s">
        <v>14</v>
      </c>
      <c r="I28" s="2" t="s">
        <v>15</v>
      </c>
      <c r="J28" s="2" t="s">
        <v>16</v>
      </c>
      <c r="M28" s="21" t="s">
        <v>20</v>
      </c>
      <c r="N28" s="18"/>
      <c r="O28" s="22">
        <f>J27/C30</f>
        <v>0.14693764902892784</v>
      </c>
      <c r="Q28">
        <v>87</v>
      </c>
      <c r="R28">
        <f>2024.75-(89/O28)</f>
        <v>1419.0509120659169</v>
      </c>
    </row>
    <row r="29" spans="1:18" x14ac:dyDescent="0.35">
      <c r="C29" s="36">
        <v>-3.0143469663034899</v>
      </c>
      <c r="D29" s="36">
        <v>0.4310054437737979</v>
      </c>
      <c r="E29" s="36">
        <v>-6.9937561342856078</v>
      </c>
      <c r="F29" s="36">
        <v>6.0015584423479922E-3</v>
      </c>
      <c r="G29" s="36">
        <v>-4.3859986483985782</v>
      </c>
      <c r="H29" s="36">
        <v>-1.6426952842084013</v>
      </c>
      <c r="I29" s="36">
        <v>-4.3859986483985782</v>
      </c>
      <c r="J29" s="36">
        <v>-1.6426952842084013</v>
      </c>
      <c r="M29" s="23" t="s">
        <v>18</v>
      </c>
      <c r="N29" s="19"/>
      <c r="O29" s="12">
        <f>J27/G30</f>
        <v>0.58420179434482333</v>
      </c>
    </row>
    <row r="30" spans="1:18" ht="15" thickBot="1" x14ac:dyDescent="0.4">
      <c r="B30" s="3"/>
      <c r="C30" s="37">
        <v>0.21153756994469697</v>
      </c>
      <c r="D30" s="37">
        <v>4.9751640679831753E-2</v>
      </c>
      <c r="E30" s="37">
        <v>4.2518712358856892</v>
      </c>
      <c r="F30" s="37">
        <v>2.3843236677413896E-2</v>
      </c>
      <c r="G30" s="37">
        <v>5.3205644881363728E-2</v>
      </c>
      <c r="H30" s="37">
        <v>0.36986949500803024</v>
      </c>
      <c r="I30" s="37">
        <v>5.3205644881363728E-2</v>
      </c>
      <c r="J30" s="37">
        <v>0.36986949500803024</v>
      </c>
      <c r="M30" s="17" t="s">
        <v>19</v>
      </c>
      <c r="N30" s="24"/>
      <c r="O30" s="25">
        <f>J27/H30</f>
        <v>8.4037298637702776E-2</v>
      </c>
    </row>
    <row r="32" spans="1:18" x14ac:dyDescent="0.35">
      <c r="O32" s="1" t="s">
        <v>95</v>
      </c>
      <c r="P32" s="1"/>
      <c r="Q32" s="1">
        <f>1/O28</f>
        <v>6.8056077295964394</v>
      </c>
    </row>
    <row r="34" spans="3:12" x14ac:dyDescent="0.35">
      <c r="C34" s="38"/>
      <c r="D34" s="38"/>
      <c r="E34" s="38"/>
      <c r="F34" s="38"/>
      <c r="G34" s="38"/>
      <c r="H34" s="38"/>
      <c r="I34" s="38"/>
      <c r="J34" s="38"/>
      <c r="K34" s="38"/>
      <c r="L34" s="38"/>
    </row>
    <row r="35" spans="3:12" x14ac:dyDescent="0.35">
      <c r="K35" s="38"/>
      <c r="L35" s="38"/>
    </row>
    <row r="36" spans="3:12" x14ac:dyDescent="0.35">
      <c r="L36" s="38"/>
    </row>
    <row r="37" spans="3:12" x14ac:dyDescent="0.35">
      <c r="L37" s="38"/>
    </row>
    <row r="38" spans="3:12" x14ac:dyDescent="0.35">
      <c r="L38" s="38"/>
    </row>
    <row r="39" spans="3:12" x14ac:dyDescent="0.35">
      <c r="L39" s="38"/>
    </row>
    <row r="40" spans="3:12" x14ac:dyDescent="0.35">
      <c r="L40" s="38"/>
    </row>
    <row r="41" spans="3:12" x14ac:dyDescent="0.35">
      <c r="L41" s="38"/>
    </row>
    <row r="42" spans="3:12" x14ac:dyDescent="0.35">
      <c r="L42" s="38"/>
    </row>
    <row r="43" spans="3:12" x14ac:dyDescent="0.35">
      <c r="L43" s="38"/>
    </row>
    <row r="44" spans="3:12" x14ac:dyDescent="0.35">
      <c r="L44" s="38"/>
    </row>
    <row r="45" spans="3:12" x14ac:dyDescent="0.35">
      <c r="L45" s="38"/>
    </row>
    <row r="46" spans="3:12" x14ac:dyDescent="0.35">
      <c r="L46" s="38"/>
    </row>
    <row r="47" spans="3:12" x14ac:dyDescent="0.35">
      <c r="L47" s="38"/>
    </row>
    <row r="48" spans="3:12" x14ac:dyDescent="0.35">
      <c r="L48" s="38"/>
    </row>
    <row r="49" spans="12:12" x14ac:dyDescent="0.35">
      <c r="L49" s="38"/>
    </row>
    <row r="50" spans="12:12" x14ac:dyDescent="0.35">
      <c r="L50" s="38"/>
    </row>
    <row r="51" spans="12:12" x14ac:dyDescent="0.35">
      <c r="L51" s="38"/>
    </row>
  </sheetData>
  <conditionalFormatting sqref="C17">
    <cfRule type="duplicateValues" dxfId="3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285D-35A8-4929-BC78-AAED5C59484B}">
  <dimension ref="A1:R50"/>
  <sheetViews>
    <sheetView topLeftCell="I10" workbookViewId="0">
      <selection activeCell="R26" sqref="R26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8" max="18" width="12.7265625" bestFit="1" customWidth="1"/>
  </cols>
  <sheetData>
    <row r="1" spans="1:8" ht="15" thickBot="1" x14ac:dyDescent="0.4">
      <c r="A1" s="6" t="s">
        <v>17</v>
      </c>
      <c r="B1" s="7"/>
      <c r="C1" s="26" t="s">
        <v>189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32" t="s">
        <v>167</v>
      </c>
      <c r="C4" s="33" t="s">
        <v>178</v>
      </c>
      <c r="D4" s="45">
        <v>-1</v>
      </c>
      <c r="E4" s="31">
        <v>1.6E-2</v>
      </c>
      <c r="F4" s="31">
        <v>2E-3</v>
      </c>
      <c r="G4" s="31">
        <f t="shared" ref="G4:G14" si="0">E4-$E$14</f>
        <v>1.03E-2</v>
      </c>
      <c r="H4" s="12">
        <f>LN(G4)</f>
        <v>-4.5756113837465469</v>
      </c>
    </row>
    <row r="5" spans="1:8" x14ac:dyDescent="0.35">
      <c r="A5" s="11">
        <v>2</v>
      </c>
      <c r="B5" s="32" t="s">
        <v>168</v>
      </c>
      <c r="C5" s="33" t="s">
        <v>179</v>
      </c>
      <c r="D5" s="45">
        <v>-3</v>
      </c>
      <c r="E5" s="31">
        <v>8.9999999999999993E-3</v>
      </c>
      <c r="F5" s="31">
        <v>1E-3</v>
      </c>
      <c r="G5" s="31">
        <f t="shared" si="0"/>
        <v>3.2999999999999991E-3</v>
      </c>
      <c r="H5" s="12">
        <f t="shared" ref="H5" si="1">LN(G5)</f>
        <v>-5.7138328105097029</v>
      </c>
    </row>
    <row r="6" spans="1:8" x14ac:dyDescent="0.35">
      <c r="A6" s="11">
        <v>3</v>
      </c>
      <c r="B6" s="32" t="s">
        <v>169</v>
      </c>
      <c r="C6" s="33" t="s">
        <v>180</v>
      </c>
      <c r="D6" s="45">
        <v>-5</v>
      </c>
      <c r="E6" s="31">
        <v>1.1999999999999999E-3</v>
      </c>
      <c r="F6" s="31">
        <v>2.0000000000000001E-4</v>
      </c>
      <c r="G6" s="31">
        <f t="shared" si="0"/>
        <v>-4.5000000000000005E-3</v>
      </c>
      <c r="H6" s="12"/>
    </row>
    <row r="7" spans="1:8" x14ac:dyDescent="0.35">
      <c r="A7" s="11">
        <v>4</v>
      </c>
      <c r="B7" s="32" t="s">
        <v>170</v>
      </c>
      <c r="C7" s="33" t="s">
        <v>181</v>
      </c>
      <c r="D7" s="45">
        <v>-9</v>
      </c>
      <c r="E7" s="31">
        <v>1.6999999999999999E-3</v>
      </c>
      <c r="F7" s="31">
        <v>4.0000000000000002E-4</v>
      </c>
      <c r="G7" s="31">
        <f t="shared" si="0"/>
        <v>-4.0000000000000001E-3</v>
      </c>
      <c r="H7" s="12"/>
    </row>
    <row r="8" spans="1:8" x14ac:dyDescent="0.35">
      <c r="A8" s="11">
        <v>5</v>
      </c>
      <c r="B8" s="32" t="s">
        <v>171</v>
      </c>
      <c r="C8" s="33" t="s">
        <v>182</v>
      </c>
      <c r="D8" s="45">
        <v>-15</v>
      </c>
      <c r="E8" s="31">
        <v>2.8E-3</v>
      </c>
      <c r="F8" s="31">
        <v>5.0000000000000001E-4</v>
      </c>
      <c r="G8" s="31">
        <f t="shared" si="0"/>
        <v>-2.9000000000000002E-3</v>
      </c>
      <c r="H8" s="12"/>
    </row>
    <row r="9" spans="1:8" x14ac:dyDescent="0.35">
      <c r="A9" s="11">
        <v>6</v>
      </c>
      <c r="B9" s="32" t="s">
        <v>172</v>
      </c>
      <c r="C9" s="33" t="s">
        <v>183</v>
      </c>
      <c r="D9" s="45">
        <v>-19</v>
      </c>
      <c r="E9" s="31">
        <v>3.0999999999999999E-3</v>
      </c>
      <c r="F9" s="31">
        <v>5.0000000000000001E-4</v>
      </c>
      <c r="G9" s="31">
        <f t="shared" si="0"/>
        <v>-2.6000000000000003E-3</v>
      </c>
      <c r="H9" s="12"/>
    </row>
    <row r="10" spans="1:8" x14ac:dyDescent="0.35">
      <c r="A10" s="11">
        <v>7</v>
      </c>
      <c r="B10" s="32" t="s">
        <v>173</v>
      </c>
      <c r="C10" s="33" t="s">
        <v>184</v>
      </c>
      <c r="D10" s="45">
        <v>-23</v>
      </c>
      <c r="E10" s="31">
        <v>2E-3</v>
      </c>
      <c r="F10" s="31">
        <v>4.0000000000000002E-4</v>
      </c>
      <c r="G10" s="31">
        <f t="shared" si="0"/>
        <v>-3.7000000000000002E-3</v>
      </c>
      <c r="H10" s="12"/>
    </row>
    <row r="11" spans="1:8" x14ac:dyDescent="0.35">
      <c r="A11" s="11">
        <v>8</v>
      </c>
      <c r="B11" s="32" t="s">
        <v>174</v>
      </c>
      <c r="C11" s="33" t="s">
        <v>185</v>
      </c>
      <c r="D11" s="45">
        <v>-27</v>
      </c>
      <c r="E11" s="31">
        <v>3.5999999999999999E-3</v>
      </c>
      <c r="F11" s="31">
        <v>5.9999999999999995E-4</v>
      </c>
      <c r="G11" s="31">
        <f t="shared" si="0"/>
        <v>-2.1000000000000003E-3</v>
      </c>
      <c r="H11" s="12"/>
    </row>
    <row r="12" spans="1:8" x14ac:dyDescent="0.35">
      <c r="A12" s="11">
        <v>9</v>
      </c>
      <c r="B12" s="32" t="s">
        <v>175</v>
      </c>
      <c r="C12" s="33" t="s">
        <v>186</v>
      </c>
      <c r="D12" s="45">
        <v>-39</v>
      </c>
      <c r="E12" s="31">
        <v>4.1000000000000003E-3</v>
      </c>
      <c r="F12" s="31">
        <v>6.9999999999999999E-4</v>
      </c>
      <c r="G12" s="31">
        <f t="shared" si="0"/>
        <v>-1.5999999999999999E-3</v>
      </c>
      <c r="H12" s="12"/>
    </row>
    <row r="13" spans="1:8" x14ac:dyDescent="0.35">
      <c r="A13" s="11">
        <v>11</v>
      </c>
      <c r="B13" s="32" t="s">
        <v>176</v>
      </c>
      <c r="C13" s="33" t="s">
        <v>187</v>
      </c>
      <c r="D13" s="45">
        <v>-65</v>
      </c>
      <c r="E13" s="31">
        <v>1.2999999999999999E-3</v>
      </c>
      <c r="F13" s="31">
        <v>2.9999999999999997E-4</v>
      </c>
      <c r="G13" s="31">
        <f t="shared" si="0"/>
        <v>-4.4000000000000003E-3</v>
      </c>
      <c r="H13" s="12"/>
    </row>
    <row r="14" spans="1:8" x14ac:dyDescent="0.35">
      <c r="A14" s="11">
        <v>12</v>
      </c>
      <c r="B14" s="32" t="s">
        <v>177</v>
      </c>
      <c r="C14" s="33" t="s">
        <v>188</v>
      </c>
      <c r="D14" s="45">
        <v>-87</v>
      </c>
      <c r="E14" s="31">
        <v>5.7000000000000002E-3</v>
      </c>
      <c r="F14" s="31">
        <v>9.0000000000000008E-4</v>
      </c>
      <c r="G14" s="31">
        <f t="shared" si="0"/>
        <v>0</v>
      </c>
      <c r="H14" s="12"/>
    </row>
    <row r="15" spans="1:8" x14ac:dyDescent="0.35">
      <c r="A15" s="11">
        <v>13</v>
      </c>
      <c r="B15" s="31"/>
      <c r="C15" s="31"/>
      <c r="D15" s="4"/>
      <c r="E15" s="5"/>
      <c r="F15" s="5"/>
      <c r="G15" s="5"/>
      <c r="H15" s="12"/>
    </row>
    <row r="16" spans="1:8" x14ac:dyDescent="0.35">
      <c r="A16" s="11">
        <v>14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15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16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17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18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19</v>
      </c>
      <c r="B21" s="31"/>
      <c r="C21" s="31"/>
      <c r="D21" s="4"/>
      <c r="E21" s="5"/>
      <c r="F21" s="5"/>
      <c r="G21" s="5"/>
      <c r="H21" s="12"/>
    </row>
    <row r="22" spans="1:18" ht="15" thickBot="1" x14ac:dyDescent="0.4">
      <c r="A22" s="13">
        <v>20</v>
      </c>
      <c r="B22" s="14"/>
      <c r="C22" s="14"/>
      <c r="D22" s="14"/>
      <c r="E22" s="14"/>
      <c r="F22" s="14"/>
      <c r="G22" s="28"/>
      <c r="H22" s="29"/>
    </row>
    <row r="23" spans="1:18" ht="15" thickBot="1" x14ac:dyDescent="0.4"/>
    <row r="24" spans="1:18" ht="15" thickBot="1" x14ac:dyDescent="0.4">
      <c r="B24" s="6" t="s">
        <v>8</v>
      </c>
      <c r="C24" s="7"/>
      <c r="D24" s="7"/>
      <c r="E24" s="27">
        <f>E14</f>
        <v>5.7000000000000002E-3</v>
      </c>
    </row>
    <row r="25" spans="1:18" ht="15" thickBot="1" x14ac:dyDescent="0.4"/>
    <row r="26" spans="1:18" ht="15" thickBot="1" x14ac:dyDescent="0.4">
      <c r="B26" s="1" t="s">
        <v>135</v>
      </c>
      <c r="H26" s="1" t="s">
        <v>7</v>
      </c>
      <c r="I26" s="1"/>
      <c r="J26" s="1">
        <f>LN(2)/22.3</f>
        <v>3.1082833208966154E-2</v>
      </c>
      <c r="M26" s="20" t="s">
        <v>21</v>
      </c>
      <c r="N26" s="15"/>
      <c r="O26" s="16"/>
      <c r="Q26">
        <v>89</v>
      </c>
      <c r="R26">
        <f>2024.75-(Q26/O27)</f>
        <v>395.2057061950934</v>
      </c>
    </row>
    <row r="27" spans="1:18" x14ac:dyDescent="0.35">
      <c r="B27" s="2"/>
      <c r="C27" s="2" t="s">
        <v>9</v>
      </c>
      <c r="D27" s="2" t="s">
        <v>10</v>
      </c>
      <c r="E27" s="2" t="s">
        <v>11</v>
      </c>
      <c r="F27" s="2" t="s">
        <v>12</v>
      </c>
      <c r="G27" s="2" t="s">
        <v>13</v>
      </c>
      <c r="H27" s="2" t="s">
        <v>14</v>
      </c>
      <c r="I27" s="2" t="s">
        <v>15</v>
      </c>
      <c r="J27" s="2" t="s">
        <v>16</v>
      </c>
      <c r="M27" s="21" t="s">
        <v>20</v>
      </c>
      <c r="N27" s="18"/>
      <c r="O27" s="22">
        <f>J26/C29</f>
        <v>5.4616496365489604E-2</v>
      </c>
      <c r="Q27">
        <v>45</v>
      </c>
      <c r="R27">
        <f>2024.75-(45/O27)</f>
        <v>1200.8231098739238</v>
      </c>
    </row>
    <row r="28" spans="1:18" x14ac:dyDescent="0.35">
      <c r="C28" s="36">
        <v>-4.0065006703649688</v>
      </c>
      <c r="D28" s="36">
        <v>0</v>
      </c>
      <c r="E28" s="36">
        <v>65535</v>
      </c>
      <c r="F28" s="36" t="e">
        <v>#NUM!</v>
      </c>
      <c r="G28" s="36" t="e">
        <v>#VALUE!</v>
      </c>
      <c r="H28" s="36" t="e">
        <v>#VALUE!</v>
      </c>
      <c r="I28" s="36">
        <v>-4.0065006703649688</v>
      </c>
      <c r="J28" s="36">
        <v>-4.0065006703649688</v>
      </c>
      <c r="M28" s="23" t="s">
        <v>18</v>
      </c>
      <c r="N28" s="19"/>
      <c r="O28" s="12">
        <f>J26/G29</f>
        <v>5.4616496365489604E-2</v>
      </c>
    </row>
    <row r="29" spans="1:18" ht="15" thickBot="1" x14ac:dyDescent="0.4">
      <c r="B29" s="3"/>
      <c r="C29" s="37">
        <v>0.56911071338157804</v>
      </c>
      <c r="D29" s="37">
        <v>0</v>
      </c>
      <c r="E29" s="37">
        <v>65535</v>
      </c>
      <c r="F29" s="37" t="e">
        <v>#NUM!</v>
      </c>
      <c r="G29" s="37">
        <v>0.56911071338157804</v>
      </c>
      <c r="H29" s="37">
        <v>0.56911071338157804</v>
      </c>
      <c r="I29" s="37">
        <v>0.56911071338157804</v>
      </c>
      <c r="J29" s="37">
        <v>0.56911071338157804</v>
      </c>
      <c r="M29" s="17" t="s">
        <v>19</v>
      </c>
      <c r="N29" s="24"/>
      <c r="O29" s="25">
        <f>J26/H29</f>
        <v>5.4616496365489604E-2</v>
      </c>
    </row>
    <row r="31" spans="1:18" x14ac:dyDescent="0.35">
      <c r="O31" s="1" t="s">
        <v>95</v>
      </c>
      <c r="P31" s="1"/>
      <c r="Q31" s="1">
        <f>1/O27</f>
        <v>18.30948644724614</v>
      </c>
    </row>
    <row r="33" spans="3:12" x14ac:dyDescent="0.35">
      <c r="C33" s="38"/>
      <c r="D33" s="38"/>
      <c r="E33" s="38"/>
      <c r="F33" s="38"/>
      <c r="G33" s="38"/>
      <c r="H33" s="38"/>
      <c r="I33" s="38"/>
      <c r="J33" s="38"/>
      <c r="K33" s="38"/>
      <c r="L33" s="38"/>
    </row>
    <row r="34" spans="3:12" x14ac:dyDescent="0.35">
      <c r="K34" s="38"/>
      <c r="L34" s="38"/>
    </row>
    <row r="35" spans="3:12" x14ac:dyDescent="0.35">
      <c r="L35" s="38"/>
    </row>
    <row r="36" spans="3:12" x14ac:dyDescent="0.35">
      <c r="L36" s="38"/>
    </row>
    <row r="37" spans="3:12" x14ac:dyDescent="0.35">
      <c r="L37" s="38"/>
    </row>
    <row r="38" spans="3:12" x14ac:dyDescent="0.35">
      <c r="L38" s="38"/>
    </row>
    <row r="39" spans="3:12" x14ac:dyDescent="0.35">
      <c r="L39" s="38"/>
    </row>
    <row r="40" spans="3:12" x14ac:dyDescent="0.35">
      <c r="L40" s="38"/>
    </row>
    <row r="41" spans="3:12" x14ac:dyDescent="0.35">
      <c r="L41" s="38"/>
    </row>
    <row r="42" spans="3:12" x14ac:dyDescent="0.35">
      <c r="L42" s="38"/>
    </row>
    <row r="43" spans="3:12" x14ac:dyDescent="0.35">
      <c r="L43" s="38"/>
    </row>
    <row r="44" spans="3:12" x14ac:dyDescent="0.35">
      <c r="L44" s="38"/>
    </row>
    <row r="45" spans="3:12" x14ac:dyDescent="0.35">
      <c r="L45" s="38"/>
    </row>
    <row r="46" spans="3:12" x14ac:dyDescent="0.35">
      <c r="L46" s="38"/>
    </row>
    <row r="47" spans="3:12" x14ac:dyDescent="0.35">
      <c r="L47" s="38"/>
    </row>
    <row r="48" spans="3:12" x14ac:dyDescent="0.35">
      <c r="L48" s="38"/>
    </row>
    <row r="49" spans="12:12" x14ac:dyDescent="0.35">
      <c r="L49" s="38"/>
    </row>
    <row r="50" spans="12:12" x14ac:dyDescent="0.35">
      <c r="L50" s="38"/>
    </row>
  </sheetData>
  <conditionalFormatting sqref="C16">
    <cfRule type="duplicateValues" dxfId="2" priority="1"/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261-9B27-41ED-ADB5-27415C8D2241}">
  <dimension ref="A1:R50"/>
  <sheetViews>
    <sheetView topLeftCell="H12" workbookViewId="0">
      <selection activeCell="R27" sqref="R27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8" max="18" width="12" bestFit="1" customWidth="1"/>
  </cols>
  <sheetData>
    <row r="1" spans="1:8" ht="15" thickBot="1" x14ac:dyDescent="0.4">
      <c r="A1" s="6" t="s">
        <v>17</v>
      </c>
      <c r="B1" s="7"/>
      <c r="C1" s="26" t="s">
        <v>190</v>
      </c>
    </row>
    <row r="2" spans="1:8" ht="15" thickBot="1" x14ac:dyDescent="0.4"/>
    <row r="3" spans="1:8" s="1" customFormat="1" ht="15" thickBot="1" x14ac:dyDescent="0.4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49" t="s">
        <v>203</v>
      </c>
      <c r="C4" s="46" t="s">
        <v>192</v>
      </c>
      <c r="D4" s="52">
        <v>-1</v>
      </c>
      <c r="E4" s="31">
        <v>7.0000000000000007E-2</v>
      </c>
      <c r="F4" s="31">
        <v>0.01</v>
      </c>
      <c r="G4" s="5">
        <f>E4-$E$14</f>
        <v>6.4200000000000007E-2</v>
      </c>
      <c r="H4" s="12">
        <f>LN(G4)</f>
        <v>-2.7457520682862215</v>
      </c>
    </row>
    <row r="5" spans="1:8" x14ac:dyDescent="0.35">
      <c r="A5" s="11">
        <v>2</v>
      </c>
      <c r="B5" s="50" t="s">
        <v>204</v>
      </c>
      <c r="C5" s="47" t="s">
        <v>193</v>
      </c>
      <c r="D5" s="53">
        <v>-3</v>
      </c>
      <c r="E5" s="31">
        <v>6.7000000000000004E-2</v>
      </c>
      <c r="F5" s="31">
        <v>9.0000000000000011E-3</v>
      </c>
      <c r="G5" s="5">
        <f t="shared" ref="G5:G14" si="0">E5-$E$14</f>
        <v>6.1200000000000004E-2</v>
      </c>
      <c r="H5" s="12">
        <f t="shared" ref="H5:H13" si="1">LN(G5)</f>
        <v>-2.7936080894638566</v>
      </c>
    </row>
    <row r="6" spans="1:8" x14ac:dyDescent="0.35">
      <c r="A6" s="11">
        <v>3</v>
      </c>
      <c r="B6" s="50" t="s">
        <v>205</v>
      </c>
      <c r="C6" s="47" t="s">
        <v>194</v>
      </c>
      <c r="D6" s="53">
        <v>-5</v>
      </c>
      <c r="E6" s="31">
        <v>6.9000000000000006E-2</v>
      </c>
      <c r="F6" s="31">
        <v>9.0000000000000011E-3</v>
      </c>
      <c r="G6" s="5">
        <f t="shared" si="0"/>
        <v>6.3200000000000006E-2</v>
      </c>
      <c r="H6" s="12">
        <f t="shared" si="1"/>
        <v>-2.761450977829325</v>
      </c>
    </row>
    <row r="7" spans="1:8" x14ac:dyDescent="0.35">
      <c r="A7" s="11">
        <v>4</v>
      </c>
      <c r="B7" s="50" t="s">
        <v>206</v>
      </c>
      <c r="C7" s="47" t="s">
        <v>195</v>
      </c>
      <c r="D7" s="53">
        <v>-9</v>
      </c>
      <c r="E7" s="31">
        <v>0.11</v>
      </c>
      <c r="F7" s="31">
        <v>1.0000000000000002E-2</v>
      </c>
      <c r="G7" s="5">
        <f t="shared" si="0"/>
        <v>0.1042</v>
      </c>
      <c r="H7" s="12">
        <f t="shared" si="1"/>
        <v>-2.2614431496628704</v>
      </c>
    </row>
    <row r="8" spans="1:8" x14ac:dyDescent="0.35">
      <c r="A8" s="11">
        <v>5</v>
      </c>
      <c r="B8" s="50" t="s">
        <v>207</v>
      </c>
      <c r="C8" s="47" t="s">
        <v>196</v>
      </c>
      <c r="D8" s="53">
        <v>-15</v>
      </c>
      <c r="E8" s="31">
        <v>6.8000000000000005E-2</v>
      </c>
      <c r="F8" s="31">
        <v>9.0000000000000011E-3</v>
      </c>
      <c r="G8" s="5">
        <f t="shared" si="0"/>
        <v>6.2200000000000005E-2</v>
      </c>
      <c r="H8" s="12">
        <f t="shared" si="1"/>
        <v>-2.7774002792370034</v>
      </c>
    </row>
    <row r="9" spans="1:8" x14ac:dyDescent="0.35">
      <c r="A9" s="11">
        <v>6</v>
      </c>
      <c r="B9" s="50" t="s">
        <v>208</v>
      </c>
      <c r="C9" s="47" t="s">
        <v>197</v>
      </c>
      <c r="D9" s="53">
        <v>-19</v>
      </c>
      <c r="E9" s="31">
        <v>2.4E-2</v>
      </c>
      <c r="F9" s="31">
        <v>3.0000000000000001E-3</v>
      </c>
      <c r="G9" s="5">
        <f t="shared" si="0"/>
        <v>1.8200000000000001E-2</v>
      </c>
      <c r="H9" s="12">
        <f t="shared" si="1"/>
        <v>-4.0063336848993876</v>
      </c>
    </row>
    <row r="10" spans="1:8" x14ac:dyDescent="0.35">
      <c r="A10" s="11">
        <v>7</v>
      </c>
      <c r="B10" s="50" t="s">
        <v>209</v>
      </c>
      <c r="C10" s="47" t="s">
        <v>198</v>
      </c>
      <c r="D10" s="53">
        <v>-23</v>
      </c>
      <c r="E10" s="31">
        <v>2.5999999999999999E-2</v>
      </c>
      <c r="F10" s="31">
        <v>4.0000000000000001E-3</v>
      </c>
      <c r="G10" s="5">
        <f t="shared" si="0"/>
        <v>2.0199999999999999E-2</v>
      </c>
      <c r="H10" s="12">
        <f t="shared" si="1"/>
        <v>-3.9020726745749781</v>
      </c>
    </row>
    <row r="11" spans="1:8" x14ac:dyDescent="0.35">
      <c r="A11" s="11">
        <v>8</v>
      </c>
      <c r="B11" s="50" t="s">
        <v>210</v>
      </c>
      <c r="C11" s="47" t="s">
        <v>199</v>
      </c>
      <c r="D11" s="53">
        <v>-27</v>
      </c>
      <c r="E11" s="31">
        <v>2.1999999999999999E-2</v>
      </c>
      <c r="F11" s="31">
        <v>3.0000000000000001E-3</v>
      </c>
      <c r="G11" s="5">
        <f t="shared" si="0"/>
        <v>1.6199999999999999E-2</v>
      </c>
      <c r="H11" s="12">
        <f t="shared" si="1"/>
        <v>-4.1227440367437991</v>
      </c>
    </row>
    <row r="12" spans="1:8" x14ac:dyDescent="0.35">
      <c r="A12" s="11">
        <v>9</v>
      </c>
      <c r="B12" s="50" t="s">
        <v>211</v>
      </c>
      <c r="C12" s="47" t="s">
        <v>200</v>
      </c>
      <c r="D12" s="53">
        <v>-39</v>
      </c>
      <c r="E12" s="31">
        <v>0.01</v>
      </c>
      <c r="F12" s="31">
        <v>2E-3</v>
      </c>
      <c r="G12" s="5">
        <f t="shared" si="0"/>
        <v>4.2000000000000006E-3</v>
      </c>
      <c r="H12" s="12">
        <f t="shared" si="1"/>
        <v>-5.4726707536928139</v>
      </c>
    </row>
    <row r="13" spans="1:8" x14ac:dyDescent="0.35">
      <c r="A13" s="11">
        <v>11</v>
      </c>
      <c r="B13" s="50" t="s">
        <v>212</v>
      </c>
      <c r="C13" s="47" t="s">
        <v>201</v>
      </c>
      <c r="D13" s="53">
        <v>-65</v>
      </c>
      <c r="E13" s="31">
        <v>8.0000000000000002E-3</v>
      </c>
      <c r="F13" s="31">
        <v>1E-3</v>
      </c>
      <c r="G13" s="5">
        <f t="shared" si="0"/>
        <v>2.2000000000000006E-3</v>
      </c>
      <c r="H13" s="12">
        <f t="shared" si="1"/>
        <v>-6.1192979186178666</v>
      </c>
    </row>
    <row r="14" spans="1:8" ht="15" thickBot="1" x14ac:dyDescent="0.4">
      <c r="A14" s="11">
        <v>12</v>
      </c>
      <c r="B14" s="51" t="s">
        <v>213</v>
      </c>
      <c r="C14" s="48" t="s">
        <v>202</v>
      </c>
      <c r="D14" s="54">
        <v>-87</v>
      </c>
      <c r="E14" s="31">
        <v>5.7999999999999996E-3</v>
      </c>
      <c r="F14" s="31">
        <v>9.0000000000000008E-4</v>
      </c>
      <c r="G14" s="5">
        <f t="shared" si="0"/>
        <v>0</v>
      </c>
      <c r="H14" s="12"/>
    </row>
    <row r="15" spans="1:8" x14ac:dyDescent="0.35">
      <c r="A15" s="11">
        <v>13</v>
      </c>
      <c r="B15" s="31"/>
      <c r="C15" s="31"/>
      <c r="D15" s="4"/>
      <c r="G15" s="5"/>
      <c r="H15" s="12"/>
    </row>
    <row r="16" spans="1:8" x14ac:dyDescent="0.35">
      <c r="A16" s="11">
        <v>14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15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16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17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18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19</v>
      </c>
      <c r="B21" s="31"/>
      <c r="C21" s="31"/>
      <c r="D21" s="4"/>
      <c r="E21" s="5"/>
      <c r="F21" s="5"/>
      <c r="G21" s="5"/>
      <c r="H21" s="12"/>
    </row>
    <row r="22" spans="1:18" ht="15" thickBot="1" x14ac:dyDescent="0.4">
      <c r="A22" s="13">
        <v>20</v>
      </c>
      <c r="B22" s="14"/>
      <c r="C22" s="14"/>
      <c r="D22" s="14"/>
      <c r="E22" s="14"/>
      <c r="F22" s="14"/>
      <c r="G22" s="28"/>
      <c r="H22" s="29"/>
    </row>
    <row r="23" spans="1:18" ht="15" thickBot="1" x14ac:dyDescent="0.4"/>
    <row r="24" spans="1:18" ht="15" thickBot="1" x14ac:dyDescent="0.4">
      <c r="B24" s="6" t="s">
        <v>8</v>
      </c>
      <c r="C24" s="7"/>
      <c r="D24" s="7"/>
      <c r="E24" s="27">
        <f>E13</f>
        <v>8.0000000000000002E-3</v>
      </c>
    </row>
    <row r="25" spans="1:18" ht="15" thickBot="1" x14ac:dyDescent="0.4"/>
    <row r="26" spans="1:18" ht="15" thickBot="1" x14ac:dyDescent="0.4">
      <c r="B26" s="1" t="s">
        <v>135</v>
      </c>
      <c r="H26" s="1" t="s">
        <v>7</v>
      </c>
      <c r="I26" s="1"/>
      <c r="J26" s="1">
        <f>LN(2)/22.3</f>
        <v>3.1082833208966154E-2</v>
      </c>
      <c r="M26" s="20" t="s">
        <v>21</v>
      </c>
      <c r="N26" s="15"/>
      <c r="O26" s="16"/>
      <c r="Q26">
        <v>89</v>
      </c>
      <c r="R26">
        <f>2024.75-(89/O27)</f>
        <v>1812.3656544905382</v>
      </c>
    </row>
    <row r="27" spans="1:18" x14ac:dyDescent="0.35">
      <c r="B27" s="2"/>
      <c r="C27" s="2" t="s">
        <v>9</v>
      </c>
      <c r="D27" s="2" t="s">
        <v>10</v>
      </c>
      <c r="E27" s="2" t="s">
        <v>11</v>
      </c>
      <c r="F27" s="2" t="s">
        <v>12</v>
      </c>
      <c r="G27" s="2" t="s">
        <v>13</v>
      </c>
      <c r="H27" s="2" t="s">
        <v>14</v>
      </c>
      <c r="I27" s="2" t="s">
        <v>15</v>
      </c>
      <c r="J27" s="2" t="s">
        <v>16</v>
      </c>
      <c r="M27" s="21" t="s">
        <v>20</v>
      </c>
      <c r="N27" s="18"/>
      <c r="O27" s="22">
        <f>J26/C29</f>
        <v>0.41905160093842714</v>
      </c>
      <c r="Q27">
        <v>45</v>
      </c>
      <c r="R27">
        <f>2023.75-(45/O27)</f>
        <v>1916.3646567648789</v>
      </c>
    </row>
    <row r="28" spans="1:18" x14ac:dyDescent="0.35">
      <c r="C28" s="36">
        <v>-2.2649897941570805</v>
      </c>
      <c r="D28" s="36">
        <v>0.23950830983485061</v>
      </c>
      <c r="E28" s="36">
        <v>-9.4568317722206405</v>
      </c>
      <c r="F28" s="36">
        <v>3.0878482151987828E-5</v>
      </c>
      <c r="G28" s="36">
        <v>-2.8313369520505667</v>
      </c>
      <c r="H28" s="36">
        <v>-1.698642636263594</v>
      </c>
      <c r="I28" s="36">
        <v>-2.8313369520505667</v>
      </c>
      <c r="J28" s="36">
        <v>-1.698642636263594</v>
      </c>
      <c r="M28" s="23" t="s">
        <v>18</v>
      </c>
      <c r="N28" s="19"/>
      <c r="O28" s="12">
        <f>J26/G29</f>
        <v>0.68499205803208607</v>
      </c>
    </row>
    <row r="29" spans="1:18" ht="15" thickBot="1" x14ac:dyDescent="0.4">
      <c r="B29" s="3"/>
      <c r="C29" s="37">
        <v>7.417423806366337E-2</v>
      </c>
      <c r="D29" s="37">
        <v>1.2178388635670372E-2</v>
      </c>
      <c r="E29" s="37">
        <v>6.0906446889375667</v>
      </c>
      <c r="F29" s="37">
        <v>4.9563240730047273E-4</v>
      </c>
      <c r="G29" s="37">
        <v>4.5376924950435243E-2</v>
      </c>
      <c r="H29" s="37">
        <v>0.1029715511768915</v>
      </c>
      <c r="I29" s="37">
        <v>4.5376924950435243E-2</v>
      </c>
      <c r="J29" s="37">
        <v>0.1029715511768915</v>
      </c>
      <c r="M29" s="17" t="s">
        <v>19</v>
      </c>
      <c r="N29" s="24"/>
      <c r="O29" s="25">
        <f>J26/H29</f>
        <v>0.30185845365745689</v>
      </c>
    </row>
    <row r="31" spans="1:18" x14ac:dyDescent="0.35">
      <c r="O31" s="1" t="s">
        <v>95</v>
      </c>
      <c r="P31" s="1"/>
      <c r="Q31" s="1">
        <f>1/O27</f>
        <v>2.3863409607804691</v>
      </c>
    </row>
    <row r="33" spans="3:12" x14ac:dyDescent="0.35">
      <c r="C33" s="38"/>
      <c r="D33" s="38"/>
      <c r="E33" s="38"/>
      <c r="F33" s="38"/>
      <c r="G33" s="38"/>
      <c r="H33" s="38"/>
      <c r="I33" s="38"/>
      <c r="J33" s="38"/>
      <c r="K33" s="38"/>
      <c r="L33" s="38"/>
    </row>
    <row r="34" spans="3:12" x14ac:dyDescent="0.35">
      <c r="K34" s="38"/>
      <c r="L34" s="38"/>
    </row>
    <row r="35" spans="3:12" x14ac:dyDescent="0.35">
      <c r="L35" s="38"/>
    </row>
    <row r="36" spans="3:12" x14ac:dyDescent="0.35">
      <c r="L36" s="38"/>
    </row>
    <row r="37" spans="3:12" x14ac:dyDescent="0.35">
      <c r="L37" s="38"/>
    </row>
    <row r="38" spans="3:12" x14ac:dyDescent="0.35">
      <c r="L38" s="38"/>
    </row>
    <row r="39" spans="3:12" x14ac:dyDescent="0.35">
      <c r="L39" s="38"/>
    </row>
    <row r="40" spans="3:12" x14ac:dyDescent="0.35">
      <c r="L40" s="38"/>
    </row>
    <row r="41" spans="3:12" x14ac:dyDescent="0.35">
      <c r="L41" s="38"/>
    </row>
    <row r="42" spans="3:12" x14ac:dyDescent="0.35">
      <c r="L42" s="38"/>
    </row>
    <row r="43" spans="3:12" x14ac:dyDescent="0.35">
      <c r="L43" s="38"/>
    </row>
    <row r="44" spans="3:12" x14ac:dyDescent="0.35">
      <c r="L44" s="38"/>
    </row>
    <row r="45" spans="3:12" x14ac:dyDescent="0.35">
      <c r="L45" s="38"/>
    </row>
    <row r="46" spans="3:12" x14ac:dyDescent="0.35">
      <c r="L46" s="38"/>
    </row>
    <row r="47" spans="3:12" x14ac:dyDescent="0.35">
      <c r="L47" s="38"/>
    </row>
    <row r="48" spans="3:12" x14ac:dyDescent="0.35">
      <c r="L48" s="38"/>
    </row>
    <row r="49" spans="12:12" x14ac:dyDescent="0.35">
      <c r="L49" s="38"/>
    </row>
    <row r="50" spans="12:12" x14ac:dyDescent="0.35">
      <c r="L50" s="38"/>
    </row>
  </sheetData>
  <conditionalFormatting sqref="C16">
    <cfRule type="duplicateValues" dxfId="1" priority="1"/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6C584-D436-4899-A37F-FDF26720C6FB}">
  <dimension ref="A1:R50"/>
  <sheetViews>
    <sheetView workbookViewId="0">
      <selection activeCell="K24" sqref="K24"/>
    </sheetView>
  </sheetViews>
  <sheetFormatPr baseColWidth="10" defaultColWidth="9.1796875" defaultRowHeight="14.5" x14ac:dyDescent="0.35"/>
  <cols>
    <col min="1" max="1" width="4.54296875" customWidth="1"/>
    <col min="2" max="2" width="11.7265625" customWidth="1"/>
    <col min="3" max="3" width="18" customWidth="1"/>
    <col min="4" max="8" width="10.7265625" customWidth="1"/>
    <col min="18" max="18" width="12" bestFit="1" customWidth="1"/>
  </cols>
  <sheetData>
    <row r="1" spans="1:8" ht="15" thickBot="1" x14ac:dyDescent="0.4">
      <c r="A1" s="6" t="s">
        <v>17</v>
      </c>
      <c r="B1" s="7"/>
      <c r="C1" s="26" t="s">
        <v>191</v>
      </c>
    </row>
    <row r="2" spans="1:8" ht="15" thickBot="1" x14ac:dyDescent="0.4"/>
    <row r="3" spans="1:8" s="1" customFormat="1" x14ac:dyDescent="0.35">
      <c r="A3" s="8"/>
      <c r="B3" s="9" t="s">
        <v>0</v>
      </c>
      <c r="C3" s="9" t="s">
        <v>1</v>
      </c>
      <c r="D3" s="9" t="s">
        <v>2</v>
      </c>
      <c r="E3" s="9" t="s">
        <v>3</v>
      </c>
      <c r="F3" s="9" t="s">
        <v>4</v>
      </c>
      <c r="G3" s="9" t="s">
        <v>5</v>
      </c>
      <c r="H3" s="10" t="s">
        <v>6</v>
      </c>
    </row>
    <row r="4" spans="1:8" x14ac:dyDescent="0.35">
      <c r="A4" s="11">
        <v>1</v>
      </c>
      <c r="B4" s="55" t="s">
        <v>224</v>
      </c>
      <c r="C4" s="47" t="s">
        <v>235</v>
      </c>
      <c r="D4" s="4">
        <v>-11</v>
      </c>
      <c r="E4" s="31">
        <v>6.2E-2</v>
      </c>
      <c r="F4" s="31">
        <v>8.0000000000000002E-3</v>
      </c>
      <c r="G4" s="5">
        <f>E4-$E$14</f>
        <v>5.3999999999999999E-2</v>
      </c>
      <c r="H4" s="12">
        <f>LN(G4)</f>
        <v>-2.9187712324178627</v>
      </c>
    </row>
    <row r="5" spans="1:8" x14ac:dyDescent="0.35">
      <c r="A5" s="11">
        <v>2</v>
      </c>
      <c r="B5" s="55" t="s">
        <v>223</v>
      </c>
      <c r="C5" s="47" t="s">
        <v>234</v>
      </c>
      <c r="D5" s="4">
        <v>-23</v>
      </c>
      <c r="E5" s="31">
        <v>4.1000000000000002E-2</v>
      </c>
      <c r="F5" s="31">
        <v>5.0000000000000001E-3</v>
      </c>
      <c r="G5" s="5">
        <f t="shared" ref="G5:G14" si="0">E5-$E$14</f>
        <v>3.3000000000000002E-2</v>
      </c>
      <c r="H5" s="12">
        <f t="shared" ref="H5:H13" si="1">LN(G5)</f>
        <v>-3.4112477175156566</v>
      </c>
    </row>
    <row r="6" spans="1:8" x14ac:dyDescent="0.35">
      <c r="A6" s="11">
        <v>3</v>
      </c>
      <c r="B6" s="55" t="s">
        <v>222</v>
      </c>
      <c r="C6" s="47" t="s">
        <v>233</v>
      </c>
      <c r="D6" s="4">
        <v>-27</v>
      </c>
      <c r="E6" s="31">
        <v>4.3999999999999997E-2</v>
      </c>
      <c r="F6" s="31">
        <v>5.0000000000000001E-3</v>
      </c>
      <c r="G6" s="5">
        <f t="shared" si="0"/>
        <v>3.5999999999999997E-2</v>
      </c>
      <c r="H6" s="12">
        <f t="shared" si="1"/>
        <v>-3.3242363405260273</v>
      </c>
    </row>
    <row r="7" spans="1:8" x14ac:dyDescent="0.35">
      <c r="A7" s="11">
        <v>4</v>
      </c>
      <c r="B7" s="55" t="s">
        <v>221</v>
      </c>
      <c r="C7" s="47" t="s">
        <v>232</v>
      </c>
      <c r="D7" s="4">
        <v>-31</v>
      </c>
      <c r="E7" s="31">
        <v>3.9E-2</v>
      </c>
      <c r="F7" s="31">
        <v>5.0000000000000001E-3</v>
      </c>
      <c r="G7" s="5">
        <f t="shared" si="0"/>
        <v>3.1E-2</v>
      </c>
      <c r="H7" s="12">
        <f t="shared" si="1"/>
        <v>-3.473768074496991</v>
      </c>
    </row>
    <row r="8" spans="1:8" x14ac:dyDescent="0.35">
      <c r="A8" s="11">
        <v>5</v>
      </c>
      <c r="B8" s="55" t="s">
        <v>220</v>
      </c>
      <c r="C8" s="47" t="s">
        <v>231</v>
      </c>
      <c r="D8" s="4">
        <v>-35</v>
      </c>
      <c r="E8" s="31">
        <v>3.5999999999999997E-2</v>
      </c>
      <c r="F8" s="31">
        <v>4.0000000000000001E-3</v>
      </c>
      <c r="G8" s="5">
        <f t="shared" si="0"/>
        <v>2.7999999999999997E-2</v>
      </c>
      <c r="H8" s="12">
        <f t="shared" si="1"/>
        <v>-3.575550768806933</v>
      </c>
    </row>
    <row r="9" spans="1:8" x14ac:dyDescent="0.35">
      <c r="A9" s="11">
        <v>6</v>
      </c>
      <c r="B9" s="55" t="s">
        <v>219</v>
      </c>
      <c r="C9" s="47" t="s">
        <v>230</v>
      </c>
      <c r="D9" s="4">
        <v>-41</v>
      </c>
      <c r="E9" s="31">
        <v>0.03</v>
      </c>
      <c r="F9" s="31">
        <v>4.0000000000000001E-3</v>
      </c>
      <c r="G9" s="5">
        <f t="shared" si="0"/>
        <v>2.1999999999999999E-2</v>
      </c>
      <c r="H9" s="12">
        <f t="shared" si="1"/>
        <v>-3.8167128256238212</v>
      </c>
    </row>
    <row r="10" spans="1:8" x14ac:dyDescent="0.35">
      <c r="A10" s="11">
        <v>7</v>
      </c>
      <c r="B10" s="55" t="s">
        <v>218</v>
      </c>
      <c r="C10" s="47" t="s">
        <v>229</v>
      </c>
      <c r="D10" s="4">
        <v>-45</v>
      </c>
      <c r="E10" s="31">
        <v>2.8000000000000001E-2</v>
      </c>
      <c r="F10" s="31">
        <v>4.0000000000000001E-3</v>
      </c>
      <c r="G10" s="5">
        <f t="shared" si="0"/>
        <v>0.02</v>
      </c>
      <c r="H10" s="12">
        <f t="shared" si="1"/>
        <v>-3.912023005428146</v>
      </c>
    </row>
    <row r="11" spans="1:8" ht="15" thickBot="1" x14ac:dyDescent="0.4">
      <c r="A11" s="11">
        <v>8</v>
      </c>
      <c r="B11" s="55" t="s">
        <v>217</v>
      </c>
      <c r="C11" s="47" t="s">
        <v>228</v>
      </c>
      <c r="D11" s="4">
        <v>-47</v>
      </c>
      <c r="E11" s="31">
        <v>3.3000000000000002E-2</v>
      </c>
      <c r="F11" s="31">
        <v>4.0000000000000001E-3</v>
      </c>
      <c r="G11" s="5">
        <f t="shared" si="0"/>
        <v>2.5000000000000001E-2</v>
      </c>
      <c r="H11" s="12">
        <f t="shared" si="1"/>
        <v>-3.6888794541139363</v>
      </c>
    </row>
    <row r="12" spans="1:8" x14ac:dyDescent="0.35">
      <c r="A12" s="11">
        <v>9</v>
      </c>
      <c r="B12" s="55" t="s">
        <v>216</v>
      </c>
      <c r="C12" s="46" t="s">
        <v>227</v>
      </c>
      <c r="D12" s="4">
        <v>-49</v>
      </c>
      <c r="E12" s="31">
        <v>2.8000000000000001E-2</v>
      </c>
      <c r="F12" s="31">
        <v>4.0000000000000001E-3</v>
      </c>
      <c r="G12" s="5">
        <f t="shared" si="0"/>
        <v>0.02</v>
      </c>
      <c r="H12" s="12">
        <f t="shared" si="1"/>
        <v>-3.912023005428146</v>
      </c>
    </row>
    <row r="13" spans="1:8" x14ac:dyDescent="0.35">
      <c r="A13" s="11">
        <v>11</v>
      </c>
      <c r="B13" s="55" t="s">
        <v>225</v>
      </c>
      <c r="C13" s="47" t="s">
        <v>236</v>
      </c>
      <c r="D13" s="4">
        <v>-65</v>
      </c>
      <c r="E13" s="31">
        <v>0.01</v>
      </c>
      <c r="F13" s="31">
        <v>1E-3</v>
      </c>
      <c r="G13" s="5">
        <f t="shared" si="0"/>
        <v>2E-3</v>
      </c>
      <c r="H13" s="12">
        <f t="shared" si="1"/>
        <v>-6.2146080984221914</v>
      </c>
    </row>
    <row r="14" spans="1:8" ht="15" thickBot="1" x14ac:dyDescent="0.4">
      <c r="A14" s="11">
        <v>12</v>
      </c>
      <c r="B14" s="55" t="s">
        <v>226</v>
      </c>
      <c r="C14" s="48" t="s">
        <v>237</v>
      </c>
      <c r="D14" s="4">
        <v>-87</v>
      </c>
      <c r="E14" s="31">
        <v>8.0000000000000002E-3</v>
      </c>
      <c r="F14" s="31">
        <v>1E-3</v>
      </c>
      <c r="G14" s="5">
        <f t="shared" si="0"/>
        <v>0</v>
      </c>
      <c r="H14" s="12"/>
    </row>
    <row r="15" spans="1:8" x14ac:dyDescent="0.35">
      <c r="A15" s="11">
        <v>13</v>
      </c>
      <c r="B15" s="31"/>
      <c r="C15" s="31"/>
      <c r="G15" s="5"/>
      <c r="H15" s="12"/>
    </row>
    <row r="16" spans="1:8" x14ac:dyDescent="0.35">
      <c r="A16" s="11">
        <v>14</v>
      </c>
      <c r="B16" s="31"/>
      <c r="C16" s="31"/>
      <c r="D16" s="4"/>
      <c r="E16" s="5"/>
      <c r="F16" s="5"/>
      <c r="G16" s="5"/>
      <c r="H16" s="12"/>
    </row>
    <row r="17" spans="1:18" x14ac:dyDescent="0.35">
      <c r="A17" s="11">
        <v>15</v>
      </c>
      <c r="B17" s="31"/>
      <c r="C17" s="31"/>
      <c r="D17" s="4"/>
      <c r="E17" s="5"/>
      <c r="F17" s="5"/>
      <c r="G17" s="5"/>
      <c r="H17" s="12"/>
    </row>
    <row r="18" spans="1:18" x14ac:dyDescent="0.35">
      <c r="A18" s="11">
        <v>16</v>
      </c>
      <c r="B18" s="31"/>
      <c r="C18" s="31"/>
      <c r="D18" s="4"/>
      <c r="E18" s="5"/>
      <c r="F18" s="5"/>
      <c r="G18" s="5"/>
      <c r="H18" s="12"/>
    </row>
    <row r="19" spans="1:18" x14ac:dyDescent="0.35">
      <c r="A19" s="11">
        <v>17</v>
      </c>
      <c r="B19" s="31"/>
      <c r="C19" s="31"/>
      <c r="D19" s="4"/>
      <c r="E19" s="5"/>
      <c r="F19" s="5"/>
      <c r="G19" s="5"/>
      <c r="H19" s="12"/>
    </row>
    <row r="20" spans="1:18" x14ac:dyDescent="0.35">
      <c r="A20" s="11">
        <v>18</v>
      </c>
      <c r="B20" s="31"/>
      <c r="C20" s="31"/>
      <c r="D20" s="4"/>
      <c r="E20" s="5"/>
      <c r="F20" s="5"/>
      <c r="G20" s="5"/>
      <c r="H20" s="12"/>
    </row>
    <row r="21" spans="1:18" x14ac:dyDescent="0.35">
      <c r="A21" s="11">
        <v>19</v>
      </c>
      <c r="B21" s="31"/>
      <c r="C21" s="31"/>
      <c r="D21" s="4"/>
      <c r="E21" s="5"/>
      <c r="F21" s="5"/>
      <c r="G21" s="5"/>
      <c r="H21" s="12"/>
    </row>
    <row r="22" spans="1:18" ht="15" thickBot="1" x14ac:dyDescent="0.4">
      <c r="A22" s="13">
        <v>20</v>
      </c>
      <c r="B22" s="14"/>
      <c r="C22" s="14"/>
      <c r="D22" s="14"/>
      <c r="E22" s="14"/>
      <c r="F22" s="14"/>
      <c r="G22" s="28"/>
      <c r="H22" s="29"/>
    </row>
    <row r="23" spans="1:18" ht="15" thickBot="1" x14ac:dyDescent="0.4"/>
    <row r="24" spans="1:18" ht="15" thickBot="1" x14ac:dyDescent="0.4">
      <c r="B24" s="6" t="s">
        <v>8</v>
      </c>
      <c r="C24" s="7"/>
      <c r="D24" s="7"/>
      <c r="E24" s="27">
        <f>E13</f>
        <v>0.01</v>
      </c>
    </row>
    <row r="25" spans="1:18" ht="15" thickBot="1" x14ac:dyDescent="0.4"/>
    <row r="26" spans="1:18" ht="15" thickBot="1" x14ac:dyDescent="0.4">
      <c r="B26" s="1" t="s">
        <v>135</v>
      </c>
      <c r="H26" s="1" t="s">
        <v>7</v>
      </c>
      <c r="I26" s="1"/>
      <c r="J26" s="1">
        <f>LN(2)/22.3</f>
        <v>3.1082833208966154E-2</v>
      </c>
      <c r="M26" s="20" t="s">
        <v>21</v>
      </c>
      <c r="N26" s="15"/>
      <c r="O26" s="16"/>
      <c r="Q26">
        <v>5</v>
      </c>
      <c r="R26">
        <f>2023.75-(5/O27)</f>
        <v>2015.8357295305293</v>
      </c>
    </row>
    <row r="27" spans="1:18" x14ac:dyDescent="0.35">
      <c r="B27" s="2"/>
      <c r="C27" s="2" t="s">
        <v>9</v>
      </c>
      <c r="D27" s="2" t="s">
        <v>10</v>
      </c>
      <c r="E27" s="2" t="s">
        <v>11</v>
      </c>
      <c r="F27" s="2" t="s">
        <v>12</v>
      </c>
      <c r="G27" s="2" t="s">
        <v>13</v>
      </c>
      <c r="H27" s="2" t="s">
        <v>14</v>
      </c>
      <c r="I27" s="2" t="s">
        <v>15</v>
      </c>
      <c r="J27" s="2" t="s">
        <v>16</v>
      </c>
      <c r="M27" s="21" t="s">
        <v>20</v>
      </c>
      <c r="N27" s="18"/>
      <c r="O27" s="22">
        <f>J26/C29</f>
        <v>0.63177017000966662</v>
      </c>
      <c r="Q27">
        <v>87</v>
      </c>
      <c r="R27">
        <f>2024.75-(89/O27)</f>
        <v>1883.8759856434212</v>
      </c>
    </row>
    <row r="28" spans="1:18" x14ac:dyDescent="0.35">
      <c r="C28" s="36">
        <v>-1.9847173939584006</v>
      </c>
      <c r="D28" s="36">
        <v>0.44084704431982036</v>
      </c>
      <c r="E28" s="36">
        <v>-4.5020544416274957</v>
      </c>
      <c r="F28" s="36">
        <v>1.9966625307526334E-3</v>
      </c>
      <c r="G28" s="36">
        <v>-3.0013125011524409</v>
      </c>
      <c r="H28" s="36">
        <v>-0.96812228676436018</v>
      </c>
      <c r="I28" s="36">
        <v>-3.0013125011524409</v>
      </c>
      <c r="J28" s="36">
        <v>-0.96812228676436018</v>
      </c>
      <c r="M28" s="23" t="s">
        <v>18</v>
      </c>
      <c r="N28" s="19"/>
      <c r="O28" s="12">
        <f>J26/G29</f>
        <v>1.3022542468274731</v>
      </c>
    </row>
    <row r="29" spans="1:18" ht="15" thickBot="1" x14ac:dyDescent="0.4">
      <c r="B29" s="3"/>
      <c r="C29" s="37">
        <v>4.9199589794640924E-2</v>
      </c>
      <c r="D29" s="37">
        <v>1.0984848863809469E-2</v>
      </c>
      <c r="E29" s="37">
        <v>4.4788590543774536</v>
      </c>
      <c r="F29" s="37">
        <v>2.0589058169827529E-3</v>
      </c>
      <c r="G29" s="37">
        <v>2.3868482890103494E-2</v>
      </c>
      <c r="H29" s="37">
        <v>7.4530696699178361E-2</v>
      </c>
      <c r="I29" s="37">
        <v>2.3868482890103494E-2</v>
      </c>
      <c r="J29" s="37">
        <v>7.4530696699178361E-2</v>
      </c>
      <c r="M29" s="17" t="s">
        <v>19</v>
      </c>
      <c r="N29" s="24"/>
      <c r="O29" s="25">
        <f>J26/H29</f>
        <v>0.4170473990659585</v>
      </c>
    </row>
    <row r="31" spans="1:18" x14ac:dyDescent="0.35">
      <c r="O31" s="1" t="s">
        <v>95</v>
      </c>
      <c r="P31" s="1"/>
      <c r="Q31" s="1">
        <f>1/O27</f>
        <v>1.5828540938941438</v>
      </c>
    </row>
    <row r="33" spans="3:12" x14ac:dyDescent="0.35">
      <c r="C33" s="38"/>
      <c r="D33" s="38"/>
      <c r="E33" s="38"/>
      <c r="F33" s="38"/>
      <c r="G33" s="38"/>
      <c r="H33" s="38"/>
      <c r="I33" s="38"/>
      <c r="J33" s="38"/>
      <c r="K33" s="38"/>
      <c r="L33" s="38"/>
    </row>
    <row r="34" spans="3:12" x14ac:dyDescent="0.35">
      <c r="K34" s="38"/>
      <c r="L34" s="38"/>
    </row>
    <row r="35" spans="3:12" x14ac:dyDescent="0.35">
      <c r="L35" s="38"/>
    </row>
    <row r="36" spans="3:12" x14ac:dyDescent="0.35">
      <c r="L36" s="38"/>
    </row>
    <row r="37" spans="3:12" x14ac:dyDescent="0.35">
      <c r="L37" s="38"/>
    </row>
    <row r="38" spans="3:12" x14ac:dyDescent="0.35">
      <c r="L38" s="38"/>
    </row>
    <row r="39" spans="3:12" x14ac:dyDescent="0.35">
      <c r="L39" s="38"/>
    </row>
    <row r="40" spans="3:12" x14ac:dyDescent="0.35">
      <c r="L40" s="38"/>
    </row>
    <row r="41" spans="3:12" x14ac:dyDescent="0.35">
      <c r="L41" s="38"/>
    </row>
    <row r="42" spans="3:12" x14ac:dyDescent="0.35">
      <c r="L42" s="38"/>
    </row>
    <row r="43" spans="3:12" x14ac:dyDescent="0.35">
      <c r="L43" s="38"/>
    </row>
    <row r="44" spans="3:12" x14ac:dyDescent="0.35">
      <c r="L44" s="38"/>
    </row>
    <row r="45" spans="3:12" x14ac:dyDescent="0.35">
      <c r="L45" s="38"/>
    </row>
    <row r="46" spans="3:12" x14ac:dyDescent="0.35">
      <c r="L46" s="38"/>
    </row>
    <row r="47" spans="3:12" x14ac:dyDescent="0.35">
      <c r="L47" s="38"/>
    </row>
    <row r="48" spans="3:12" x14ac:dyDescent="0.35">
      <c r="L48" s="38"/>
    </row>
    <row r="49" spans="12:12" x14ac:dyDescent="0.35">
      <c r="L49" s="38"/>
    </row>
    <row r="50" spans="12:12" x14ac:dyDescent="0.35">
      <c r="L50" s="38"/>
    </row>
  </sheetData>
  <conditionalFormatting sqref="C16">
    <cfRule type="duplicateValues" dxfId="0" priority="1"/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6E87D-B459-4469-9DB9-AE6700060DA2}">
  <dimension ref="A1:J6"/>
  <sheetViews>
    <sheetView workbookViewId="0">
      <selection activeCell="E9" sqref="E9"/>
    </sheetView>
  </sheetViews>
  <sheetFormatPr baseColWidth="10" defaultRowHeight="14.5" x14ac:dyDescent="0.35"/>
  <cols>
    <col min="4" max="4" width="19.54296875" customWidth="1"/>
    <col min="5" max="5" width="21.1796875" customWidth="1"/>
    <col min="6" max="6" width="16.1796875" customWidth="1"/>
    <col min="7" max="7" width="16.453125" customWidth="1"/>
    <col min="8" max="8" width="18.6328125" customWidth="1"/>
    <col min="9" max="9" width="89.54296875" customWidth="1"/>
    <col min="10" max="10" width="28.90625" customWidth="1"/>
  </cols>
  <sheetData>
    <row r="1" spans="1:10" s="1" customFormat="1" x14ac:dyDescent="0.35">
      <c r="A1" s="1" t="s">
        <v>239</v>
      </c>
      <c r="B1" s="1" t="s">
        <v>97</v>
      </c>
      <c r="C1" s="1" t="s">
        <v>245</v>
      </c>
      <c r="D1" s="1" t="s">
        <v>246</v>
      </c>
      <c r="E1" s="1" t="s">
        <v>247</v>
      </c>
      <c r="F1" s="1" t="s">
        <v>248</v>
      </c>
      <c r="G1" s="1" t="s">
        <v>249</v>
      </c>
      <c r="H1" s="1" t="s">
        <v>250</v>
      </c>
      <c r="I1" s="1" t="s">
        <v>251</v>
      </c>
      <c r="J1" s="1" t="s">
        <v>252</v>
      </c>
    </row>
    <row r="2" spans="1:10" x14ac:dyDescent="0.35">
      <c r="A2" t="s">
        <v>243</v>
      </c>
      <c r="B2" t="s">
        <v>158</v>
      </c>
      <c r="C2">
        <v>85</v>
      </c>
      <c r="D2">
        <v>2735</v>
      </c>
      <c r="E2">
        <v>35</v>
      </c>
      <c r="F2" t="s">
        <v>253</v>
      </c>
      <c r="G2">
        <v>2822</v>
      </c>
      <c r="H2" t="s">
        <v>254</v>
      </c>
      <c r="I2" t="s">
        <v>255</v>
      </c>
      <c r="J2" t="s">
        <v>256</v>
      </c>
    </row>
    <row r="3" spans="1:10" x14ac:dyDescent="0.35">
      <c r="A3" t="s">
        <v>242</v>
      </c>
      <c r="B3" t="s">
        <v>159</v>
      </c>
      <c r="C3">
        <v>85</v>
      </c>
      <c r="D3">
        <v>580</v>
      </c>
      <c r="E3">
        <v>30</v>
      </c>
      <c r="F3" t="s">
        <v>253</v>
      </c>
      <c r="G3">
        <v>602</v>
      </c>
      <c r="H3" t="s">
        <v>257</v>
      </c>
      <c r="I3" t="s">
        <v>258</v>
      </c>
      <c r="J3" t="s">
        <v>259</v>
      </c>
    </row>
    <row r="4" spans="1:10" x14ac:dyDescent="0.35">
      <c r="A4" t="s">
        <v>240</v>
      </c>
      <c r="B4" t="s">
        <v>160</v>
      </c>
      <c r="C4">
        <v>85</v>
      </c>
      <c r="D4">
        <v>955</v>
      </c>
      <c r="E4">
        <v>30</v>
      </c>
      <c r="F4" t="s">
        <v>253</v>
      </c>
      <c r="G4">
        <v>850</v>
      </c>
      <c r="H4" t="s">
        <v>260</v>
      </c>
      <c r="I4" t="s">
        <v>261</v>
      </c>
      <c r="J4" t="s">
        <v>262</v>
      </c>
    </row>
    <row r="5" spans="1:10" x14ac:dyDescent="0.35">
      <c r="A5" t="s">
        <v>241</v>
      </c>
      <c r="B5" t="s">
        <v>161</v>
      </c>
      <c r="C5">
        <v>85</v>
      </c>
      <c r="D5">
        <v>1095</v>
      </c>
      <c r="E5">
        <v>30</v>
      </c>
      <c r="F5" t="s">
        <v>253</v>
      </c>
      <c r="G5">
        <v>998</v>
      </c>
      <c r="H5" t="s">
        <v>263</v>
      </c>
      <c r="I5" t="s">
        <v>264</v>
      </c>
      <c r="J5" t="s">
        <v>265</v>
      </c>
    </row>
    <row r="6" spans="1:10" x14ac:dyDescent="0.35">
      <c r="A6" t="s">
        <v>244</v>
      </c>
      <c r="B6" t="s">
        <v>157</v>
      </c>
      <c r="C6">
        <v>70</v>
      </c>
      <c r="D6">
        <v>1570</v>
      </c>
      <c r="E6">
        <v>30</v>
      </c>
      <c r="F6" t="s">
        <v>253</v>
      </c>
      <c r="G6">
        <v>1459</v>
      </c>
      <c r="H6" t="s">
        <v>266</v>
      </c>
      <c r="I6" t="s">
        <v>267</v>
      </c>
      <c r="J6" t="s">
        <v>268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CC9CA-AFCB-4458-8CB1-9E34B175DD7B}">
  <dimension ref="J2:P12"/>
  <sheetViews>
    <sheetView tabSelected="1" zoomScale="64" zoomScaleNormal="145" workbookViewId="0">
      <selection activeCell="M27" sqref="M27"/>
    </sheetView>
  </sheetViews>
  <sheetFormatPr baseColWidth="10" defaultRowHeight="14.5" x14ac:dyDescent="0.35"/>
  <cols>
    <col min="11" max="11" width="17.81640625" customWidth="1"/>
    <col min="12" max="12" width="17.54296875" customWidth="1"/>
    <col min="13" max="14" width="15.81640625" customWidth="1"/>
  </cols>
  <sheetData>
    <row r="2" spans="10:16" ht="44.25" customHeight="1" x14ac:dyDescent="0.35">
      <c r="J2" s="43" t="s">
        <v>96</v>
      </c>
      <c r="K2" s="43" t="s">
        <v>97</v>
      </c>
      <c r="L2" s="43" t="s">
        <v>98</v>
      </c>
      <c r="M2" s="43" t="s">
        <v>99</v>
      </c>
      <c r="N2" s="43" t="s">
        <v>107</v>
      </c>
      <c r="O2" s="43" t="s">
        <v>269</v>
      </c>
      <c r="P2" s="43" t="s">
        <v>277</v>
      </c>
    </row>
    <row r="3" spans="10:16" ht="12.75" customHeight="1" x14ac:dyDescent="0.35">
      <c r="J3" s="44" t="s">
        <v>157</v>
      </c>
      <c r="K3" s="44" t="s">
        <v>134</v>
      </c>
      <c r="L3" s="44">
        <v>15</v>
      </c>
      <c r="M3" s="44" t="s">
        <v>162</v>
      </c>
      <c r="N3" s="44" t="s">
        <v>164</v>
      </c>
      <c r="O3" s="4">
        <v>73</v>
      </c>
      <c r="P3" s="4" t="s">
        <v>270</v>
      </c>
    </row>
    <row r="4" spans="10:16" x14ac:dyDescent="0.35">
      <c r="J4" s="4" t="s">
        <v>100</v>
      </c>
      <c r="K4" s="4" t="s">
        <v>104</v>
      </c>
      <c r="L4" s="4">
        <v>10</v>
      </c>
      <c r="M4" s="4" t="s">
        <v>105</v>
      </c>
      <c r="N4" s="4" t="s">
        <v>278</v>
      </c>
      <c r="O4" s="4">
        <v>89</v>
      </c>
      <c r="P4" s="4" t="s">
        <v>271</v>
      </c>
    </row>
    <row r="5" spans="10:16" x14ac:dyDescent="0.35">
      <c r="J5" s="4" t="s">
        <v>101</v>
      </c>
      <c r="K5" s="4" t="s">
        <v>22</v>
      </c>
      <c r="L5" s="4">
        <v>48</v>
      </c>
      <c r="M5" s="4" t="s">
        <v>103</v>
      </c>
      <c r="N5" s="4" t="s">
        <v>108</v>
      </c>
      <c r="O5" s="4">
        <v>49</v>
      </c>
      <c r="P5" s="4" t="s">
        <v>214</v>
      </c>
    </row>
    <row r="6" spans="10:16" x14ac:dyDescent="0.35">
      <c r="J6" s="4" t="s">
        <v>102</v>
      </c>
      <c r="K6" s="4" t="s">
        <v>48</v>
      </c>
      <c r="L6" s="4">
        <v>49</v>
      </c>
      <c r="M6" s="4" t="s">
        <v>106</v>
      </c>
      <c r="N6" s="4" t="s">
        <v>109</v>
      </c>
      <c r="O6" s="4">
        <v>49</v>
      </c>
      <c r="P6" s="4" t="s">
        <v>215</v>
      </c>
    </row>
    <row r="7" spans="10:16" x14ac:dyDescent="0.35">
      <c r="J7" s="4" t="s">
        <v>158</v>
      </c>
      <c r="K7" s="4" t="s">
        <v>189</v>
      </c>
      <c r="L7" s="4">
        <v>3</v>
      </c>
      <c r="M7" s="4" t="s">
        <v>105</v>
      </c>
      <c r="N7" s="4" t="s">
        <v>278</v>
      </c>
      <c r="O7" s="4">
        <v>89</v>
      </c>
      <c r="P7" s="4" t="s">
        <v>280</v>
      </c>
    </row>
    <row r="8" spans="10:16" x14ac:dyDescent="0.35">
      <c r="J8" s="4" t="s">
        <v>159</v>
      </c>
      <c r="K8" s="4" t="s">
        <v>136</v>
      </c>
      <c r="L8" s="4" t="s">
        <v>166</v>
      </c>
      <c r="M8" s="4" t="s">
        <v>163</v>
      </c>
      <c r="N8" s="4" t="s">
        <v>165</v>
      </c>
      <c r="O8" s="4">
        <v>89</v>
      </c>
      <c r="P8" s="4" t="s">
        <v>273</v>
      </c>
    </row>
    <row r="9" spans="10:16" x14ac:dyDescent="0.35">
      <c r="J9" s="4" t="s">
        <v>160</v>
      </c>
      <c r="K9" s="4" t="s">
        <v>190</v>
      </c>
      <c r="L9" s="4">
        <v>40</v>
      </c>
      <c r="M9" s="4" t="s">
        <v>275</v>
      </c>
      <c r="N9" s="4" t="s">
        <v>276</v>
      </c>
      <c r="O9" s="4">
        <v>89</v>
      </c>
      <c r="P9" s="4" t="s">
        <v>274</v>
      </c>
    </row>
    <row r="10" spans="10:16" x14ac:dyDescent="0.35">
      <c r="J10" s="4" t="s">
        <v>161</v>
      </c>
      <c r="K10" s="4" t="s">
        <v>191</v>
      </c>
      <c r="L10" s="4">
        <v>65</v>
      </c>
      <c r="M10" s="4" t="s">
        <v>106</v>
      </c>
      <c r="N10" s="4" t="s">
        <v>238</v>
      </c>
      <c r="O10" s="4">
        <v>89</v>
      </c>
      <c r="P10" s="4" t="s">
        <v>272</v>
      </c>
    </row>
    <row r="12" spans="10:16" x14ac:dyDescent="0.35">
      <c r="J12" s="56" t="s">
        <v>279</v>
      </c>
    </row>
  </sheetData>
  <phoneticPr fontId="3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CCO</vt:lpstr>
      <vt:lpstr>COL</vt:lpstr>
      <vt:lpstr>STO</vt:lpstr>
      <vt:lpstr>DEE</vt:lpstr>
      <vt:lpstr>CMB</vt:lpstr>
      <vt:lpstr>CSD</vt:lpstr>
      <vt:lpstr>HIT</vt:lpstr>
      <vt:lpstr>HIO</vt:lpstr>
      <vt:lpstr>14C</vt:lpstr>
      <vt:lpstr>All_210Pb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Dave Reading</dc:creator>
  <cp:lastModifiedBy>Elena Baños Lara</cp:lastModifiedBy>
  <cp:lastPrinted>2025-12-01T10:58:55Z</cp:lastPrinted>
  <dcterms:created xsi:type="dcterms:W3CDTF">2025-05-15T13:03:13Z</dcterms:created>
  <dcterms:modified xsi:type="dcterms:W3CDTF">2026-08-12T16:42:11Z</dcterms:modified>
</cp:coreProperties>
</file>