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ena Baños\Desktop\Doctorat\Doctorat\ALL_DATA\Antrhopogenic impact\Data\"/>
    </mc:Choice>
  </mc:AlternateContent>
  <xr:revisionPtr revIDLastSave="0" documentId="13_ncr:1_{73042FF3-147B-4C6B-8433-29FB88214E15}" xr6:coauthVersionLast="47" xr6:coauthVersionMax="47" xr10:uidLastSave="{00000000-0000-0000-0000-000000000000}"/>
  <bookViews>
    <workbookView xWindow="-28920" yWindow="-1095" windowWidth="29040" windowHeight="15720" activeTab="3" xr2:uid="{BE77DF17-11C5-40D0-947F-418575B36016}"/>
  </bookViews>
  <sheets>
    <sheet name="STO" sheetId="1" r:id="rId1"/>
    <sheet name="CLR" sheetId="2" r:id="rId2"/>
    <sheet name="CCO" sheetId="3" r:id="rId3"/>
    <sheet name="DEE" sheetId="4" r:id="rId4"/>
    <sheet name="CMB" sheetId="6" r:id="rId5"/>
    <sheet name="CSD" sheetId="7" r:id="rId6"/>
    <sheet name="HIO" sheetId="8" r:id="rId7"/>
    <sheet name="HIT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4" l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" i="4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2" i="9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2" i="8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2" i="7"/>
  <c r="A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2" i="6"/>
  <c r="A3" i="3"/>
  <c r="A4" i="3"/>
  <c r="A5" i="3"/>
  <c r="A6" i="3"/>
  <c r="A7" i="3"/>
  <c r="A8" i="3"/>
  <c r="A9" i="3"/>
  <c r="A10" i="3"/>
  <c r="A11" i="3"/>
  <c r="A12" i="3"/>
  <c r="A13" i="3"/>
  <c r="A14" i="3"/>
  <c r="A2" i="3"/>
  <c r="A3" i="2"/>
  <c r="A4" i="2"/>
  <c r="A5" i="2"/>
  <c r="A6" i="2"/>
  <c r="A7" i="2"/>
  <c r="A8" i="2"/>
  <c r="A9" i="2"/>
  <c r="A10" i="2"/>
  <c r="A11" i="2"/>
  <c r="A12" i="2"/>
  <c r="A13" i="2"/>
  <c r="A14" i="2"/>
  <c r="A15" i="2"/>
  <c r="A2" i="2"/>
  <c r="I3" i="9" l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2" i="9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2" i="8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2" i="7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2" i="6"/>
  <c r="I2" i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2" i="2"/>
  <c r="I3" i="3"/>
  <c r="I4" i="3"/>
  <c r="I5" i="3"/>
  <c r="I6" i="3"/>
  <c r="I7" i="3"/>
  <c r="I8" i="3"/>
  <c r="I9" i="3"/>
  <c r="I10" i="3"/>
  <c r="I11" i="3"/>
  <c r="I12" i="3"/>
  <c r="I13" i="3"/>
  <c r="I14" i="3"/>
  <c r="I2" i="3"/>
  <c r="J2" i="4" l="1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</calcChain>
</file>

<file path=xl/sharedStrings.xml><?xml version="1.0" encoding="utf-8"?>
<sst xmlns="http://schemas.openxmlformats.org/spreadsheetml/2006/main" count="198" uniqueCount="135">
  <si>
    <t>Name</t>
  </si>
  <si>
    <t>N %</t>
  </si>
  <si>
    <t>C %</t>
  </si>
  <si>
    <t>δ¹⁵N (Air)</t>
  </si>
  <si>
    <t>δ¹³C (VPDB)</t>
  </si>
  <si>
    <t>Run</t>
  </si>
  <si>
    <t>4568_2</t>
  </si>
  <si>
    <t>4568_4</t>
  </si>
  <si>
    <t>4568_6</t>
  </si>
  <si>
    <t>4568_8</t>
  </si>
  <si>
    <t>4568_10</t>
  </si>
  <si>
    <t>4568_13</t>
  </si>
  <si>
    <t>4568_16</t>
  </si>
  <si>
    <t>4568_19</t>
  </si>
  <si>
    <t>4568_22</t>
  </si>
  <si>
    <t>4568_25</t>
  </si>
  <si>
    <t>4568_30</t>
  </si>
  <si>
    <t>4568_33</t>
  </si>
  <si>
    <t>4568_36</t>
  </si>
  <si>
    <t>4568_39</t>
  </si>
  <si>
    <t>4568_42</t>
  </si>
  <si>
    <t>4568_45</t>
  </si>
  <si>
    <t>4568_48</t>
  </si>
  <si>
    <t>4569_1</t>
  </si>
  <si>
    <t>4569_3</t>
  </si>
  <si>
    <t>4569_4</t>
  </si>
  <si>
    <t>4569_5</t>
  </si>
  <si>
    <t>4569_7</t>
  </si>
  <si>
    <t>4569_9</t>
  </si>
  <si>
    <t>4569_11</t>
  </si>
  <si>
    <t>4569_13</t>
  </si>
  <si>
    <t>4569_15</t>
  </si>
  <si>
    <t>4569_20</t>
  </si>
  <si>
    <t>4569_30</t>
  </si>
  <si>
    <t>4569_37</t>
  </si>
  <si>
    <t>4569_41</t>
  </si>
  <si>
    <t>4569_56</t>
  </si>
  <si>
    <t>4569_64</t>
  </si>
  <si>
    <t>4569_71</t>
  </si>
  <si>
    <t>4569_77</t>
  </si>
  <si>
    <t>4569_81</t>
  </si>
  <si>
    <t>4569_84</t>
  </si>
  <si>
    <t>4573_1</t>
  </si>
  <si>
    <t>4573_2</t>
  </si>
  <si>
    <t>4573_3</t>
  </si>
  <si>
    <t>4573_4</t>
  </si>
  <si>
    <t>4573_6</t>
  </si>
  <si>
    <t>4573_8</t>
  </si>
  <si>
    <t>4573_10</t>
  </si>
  <si>
    <t>4573_12</t>
  </si>
  <si>
    <t>4573_13</t>
  </si>
  <si>
    <t>4573_15</t>
  </si>
  <si>
    <t>4573_17</t>
  </si>
  <si>
    <t>4573_20</t>
  </si>
  <si>
    <t>4573_23</t>
  </si>
  <si>
    <t>4573_26</t>
  </si>
  <si>
    <t>4576_1</t>
  </si>
  <si>
    <t>4576_2</t>
  </si>
  <si>
    <t>4576_3</t>
  </si>
  <si>
    <t>4576_5</t>
  </si>
  <si>
    <t>4576_7</t>
  </si>
  <si>
    <t>4576_9</t>
  </si>
  <si>
    <t>4576_11</t>
  </si>
  <si>
    <t>4576_13</t>
  </si>
  <si>
    <t>4576_15</t>
  </si>
  <si>
    <t>4576_17</t>
  </si>
  <si>
    <t>4576_20</t>
  </si>
  <si>
    <t>4576_23</t>
  </si>
  <si>
    <t>4576_25</t>
  </si>
  <si>
    <t>C:N</t>
  </si>
  <si>
    <t>Depth</t>
  </si>
  <si>
    <t>CMB-2 1</t>
  </si>
  <si>
    <t>CMB-2 15</t>
  </si>
  <si>
    <t>CMB-2 19</t>
  </si>
  <si>
    <t>CMB-2 23</t>
  </si>
  <si>
    <t>CMB-2 27</t>
  </si>
  <si>
    <t>CMB-2 3</t>
  </si>
  <si>
    <t>CMB-2 33</t>
  </si>
  <si>
    <t>CMB-2 39</t>
  </si>
  <si>
    <t>CMB-2 45</t>
  </si>
  <si>
    <t>CMB-2 5</t>
  </si>
  <si>
    <t>CMB-2 57</t>
  </si>
  <si>
    <t>CMB-2 65</t>
  </si>
  <si>
    <t>CMB-2 75</t>
  </si>
  <si>
    <t>CMB-2 87</t>
  </si>
  <si>
    <t>CMB-2 9</t>
  </si>
  <si>
    <t>CMB-2 97</t>
  </si>
  <si>
    <t>CSD-1 1</t>
  </si>
  <si>
    <t>CSD-1 15</t>
  </si>
  <si>
    <t>CSD-1 19</t>
  </si>
  <si>
    <t>CSD-1 23</t>
  </si>
  <si>
    <t>CSD-1 27</t>
  </si>
  <si>
    <t>CSD-1 3</t>
  </si>
  <si>
    <t>CSD-1 33</t>
  </si>
  <si>
    <t>CSD-1 39</t>
  </si>
  <si>
    <t>CSD-1 45</t>
  </si>
  <si>
    <t>CSD-1 5 (1)</t>
  </si>
  <si>
    <t>CSD-1 65</t>
  </si>
  <si>
    <t>CSD-1 75</t>
  </si>
  <si>
    <t>CSD-1 87</t>
  </si>
  <si>
    <t>CSD-1 9</t>
  </si>
  <si>
    <t>CSD-1 97</t>
  </si>
  <si>
    <t>HiO-1 1</t>
  </si>
  <si>
    <t>HiO-1 15</t>
  </si>
  <si>
    <t>HiO-1 19</t>
  </si>
  <si>
    <t>HiO-1 23</t>
  </si>
  <si>
    <t>HiO-1 27</t>
  </si>
  <si>
    <t>HiO-1 3</t>
  </si>
  <si>
    <t>HiO-1 33</t>
  </si>
  <si>
    <t>HiO-1 39</t>
  </si>
  <si>
    <t>HiO-1 45</t>
  </si>
  <si>
    <t>HiO-1 5</t>
  </si>
  <si>
    <t>HiO-1 57</t>
  </si>
  <si>
    <t>HiO-1 65</t>
  </si>
  <si>
    <t>HiO-1 75</t>
  </si>
  <si>
    <t>HiO-1 87</t>
  </si>
  <si>
    <t>HiO-1 9</t>
  </si>
  <si>
    <t>HiO-1 97</t>
  </si>
  <si>
    <t>HIT-1 1</t>
  </si>
  <si>
    <t>HIT-1 15b</t>
  </si>
  <si>
    <t>HIT-1 19</t>
  </si>
  <si>
    <t>HIT-1 23</t>
  </si>
  <si>
    <t>HIT-1 27</t>
  </si>
  <si>
    <t>HIT-1 3</t>
  </si>
  <si>
    <t>HIT-1 33</t>
  </si>
  <si>
    <t>HIT-1 39</t>
  </si>
  <si>
    <t>HIT-1 45</t>
  </si>
  <si>
    <t>HIT-1 5</t>
  </si>
  <si>
    <t>HIT-1 57</t>
  </si>
  <si>
    <t>HIT-1 65</t>
  </si>
  <si>
    <t>HIT-1 75</t>
  </si>
  <si>
    <t>HIT-1 87</t>
  </si>
  <si>
    <t>HIT-1 9</t>
  </si>
  <si>
    <t>HIT-1 97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</si>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</sst>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i/>
      <sz val="11"/>
      <color theme="9" tint="-0.249977111117893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0"/>
    <xf numFmtId="0" fontId="2" fillId="0" borderId="1" applyNumberFormat="0" applyAlignment="0" applyProtection="0"/>
    <xf numFmtId="0" fontId="1" fillId="0" borderId="0"/>
  </cellStyleXfs>
  <cellXfs count="24">
    <xf numFmtId="0" fontId="0" fillId="0" borderId="0" xfId="0"/>
    <xf numFmtId="2" fontId="2" fillId="0" borderId="1" xfId="2" applyNumberFormat="1" applyAlignment="1" applyProtection="1">
      <alignment horizontal="right" wrapText="1"/>
    </xf>
    <xf numFmtId="1" fontId="2" fillId="0" borderId="0" xfId="2" applyNumberFormat="1" applyBorder="1" applyAlignment="1" applyProtection="1">
      <alignment horizontal="right" wrapText="1"/>
    </xf>
    <xf numFmtId="0" fontId="6" fillId="0" borderId="0" xfId="3" applyFont="1" applyAlignment="1">
      <alignment horizontal="left"/>
    </xf>
    <xf numFmtId="2" fontId="6" fillId="0" borderId="0" xfId="3" applyNumberFormat="1" applyFont="1" applyAlignment="1">
      <alignment horizontal="right"/>
    </xf>
    <xf numFmtId="1" fontId="7" fillId="0" borderId="0" xfId="3" applyNumberFormat="1" applyFont="1" applyAlignment="1">
      <alignment horizontal="right"/>
    </xf>
    <xf numFmtId="0" fontId="8" fillId="0" borderId="0" xfId="3" applyFont="1" applyAlignment="1">
      <alignment horizontal="left"/>
    </xf>
    <xf numFmtId="0" fontId="7" fillId="0" borderId="0" xfId="3" applyFont="1" applyAlignment="1">
      <alignment horizontal="left"/>
    </xf>
    <xf numFmtId="0" fontId="9" fillId="0" borderId="0" xfId="3" applyFont="1" applyAlignment="1">
      <alignment horizontal="left"/>
    </xf>
    <xf numFmtId="0" fontId="10" fillId="0" borderId="0" xfId="0" applyFont="1"/>
    <xf numFmtId="0" fontId="3" fillId="0" borderId="0" xfId="0" applyFont="1" applyAlignment="1">
      <alignment horizontal="center"/>
    </xf>
    <xf numFmtId="0" fontId="11" fillId="0" borderId="0" xfId="0" applyFont="1" applyFill="1" applyBorder="1" applyAlignment="1">
      <alignment horizontal="center" vertical="center"/>
    </xf>
    <xf numFmtId="49" fontId="12" fillId="0" borderId="0" xfId="3" applyNumberFormat="1" applyFont="1" applyAlignment="1">
      <alignment horizontal="right"/>
    </xf>
    <xf numFmtId="49" fontId="7" fillId="0" borderId="0" xfId="3" applyNumberFormat="1" applyFont="1" applyAlignment="1">
      <alignment horizontal="right"/>
    </xf>
    <xf numFmtId="2" fontId="3" fillId="0" borderId="0" xfId="3" applyNumberFormat="1" applyFont="1" applyAlignment="1">
      <alignment horizontal="right"/>
    </xf>
    <xf numFmtId="2" fontId="6" fillId="0" borderId="0" xfId="3" applyNumberFormat="1" applyFont="1"/>
    <xf numFmtId="0" fontId="3" fillId="0" borderId="0" xfId="3" applyFont="1" applyAlignment="1">
      <alignment horizontal="left"/>
    </xf>
    <xf numFmtId="0" fontId="0" fillId="0" borderId="0" xfId="0" applyFill="1"/>
    <xf numFmtId="0" fontId="5" fillId="0" borderId="0" xfId="0" applyFont="1" applyFill="1" applyBorder="1"/>
    <xf numFmtId="0" fontId="10" fillId="0" borderId="0" xfId="0" applyFont="1" applyFill="1"/>
    <xf numFmtId="0" fontId="2" fillId="0" borderId="0" xfId="2" applyNumberFormat="1" applyBorder="1" applyAlignment="1" applyProtection="1">
      <alignment wrapText="1"/>
    </xf>
    <xf numFmtId="0" fontId="2" fillId="0" borderId="1" xfId="2" applyNumberFormat="1" applyAlignment="1" applyProtection="1">
      <alignment wrapText="1"/>
    </xf>
    <xf numFmtId="2" fontId="2" fillId="0" borderId="0" xfId="2" applyNumberFormat="1" applyBorder="1" applyAlignment="1" applyProtection="1"/>
    <xf numFmtId="2" fontId="2" fillId="0" borderId="1" xfId="2" applyNumberFormat="1" applyAlignment="1" applyProtection="1"/>
  </cellXfs>
  <cellStyles count="4">
    <cellStyle name="Heading 3 2" xfId="2" xr:uid="{7BCC54A2-6291-424C-8C4E-DCD4C8743CB7}"/>
    <cellStyle name="Normal" xfId="0" builtinId="0"/>
    <cellStyle name="Normal 2" xfId="1" xr:uid="{72549FD8-B79F-4F26-969F-B0917386A955}"/>
    <cellStyle name="Normal 2 2 2 4 2 3 2 2 2 2 2" xfId="3" xr:uid="{FDB3F42A-AE87-4C03-ACFF-D43C46FD69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DEE!$G$1</c:f>
              <c:strCache>
                <c:ptCount val="1"/>
                <c:pt idx="0">
                  <c:v>δ¹³C (VPDB)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(DEE!$B$2,DEE!$B$3,DEE!$B$4,DEE!$B$5,DEE!$B$6,DEE!$B$7:$B$16,DEE!$B$17:$B$18,DEE!$B$19:$B$20)</c:f>
              <c:numCache>
                <c:formatCode>General</c:formatCode>
                <c:ptCount val="19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13</c:v>
                </c:pt>
                <c:pt idx="4">
                  <c:v>16</c:v>
                </c:pt>
                <c:pt idx="5">
                  <c:v>19</c:v>
                </c:pt>
                <c:pt idx="6">
                  <c:v>22</c:v>
                </c:pt>
                <c:pt idx="7">
                  <c:v>25</c:v>
                </c:pt>
                <c:pt idx="8">
                  <c:v>28</c:v>
                </c:pt>
                <c:pt idx="9">
                  <c:v>31</c:v>
                </c:pt>
                <c:pt idx="10">
                  <c:v>34</c:v>
                </c:pt>
                <c:pt idx="11">
                  <c:v>37</c:v>
                </c:pt>
                <c:pt idx="12">
                  <c:v>43</c:v>
                </c:pt>
                <c:pt idx="13">
                  <c:v>46</c:v>
                </c:pt>
                <c:pt idx="14">
                  <c:v>54</c:v>
                </c:pt>
                <c:pt idx="15">
                  <c:v>61</c:v>
                </c:pt>
                <c:pt idx="16">
                  <c:v>67</c:v>
                </c:pt>
                <c:pt idx="17">
                  <c:v>71</c:v>
                </c:pt>
                <c:pt idx="18">
                  <c:v>74</c:v>
                </c:pt>
              </c:numCache>
            </c:numRef>
          </c:xVal>
          <c:yVal>
            <c:numRef>
              <c:f>(DEE!$G$2,DEE!$G$3,DEE!$G$4,DEE!$G$5,DEE!$G$6,DEE!$G$7:$G$16,DEE!$G$17:$G$18,DEE!$G$19:$G$20)</c:f>
              <c:numCache>
                <c:formatCode>0.00</c:formatCode>
                <c:ptCount val="19"/>
                <c:pt idx="0">
                  <c:v>-24.739918053271911</c:v>
                </c:pt>
                <c:pt idx="1">
                  <c:v>-22.318198993549341</c:v>
                </c:pt>
                <c:pt idx="2">
                  <c:v>-26.744713854935501</c:v>
                </c:pt>
                <c:pt idx="3">
                  <c:v>-26.68258501746379</c:v>
                </c:pt>
                <c:pt idx="4">
                  <c:v>-26.068266470727103</c:v>
                </c:pt>
                <c:pt idx="5">
                  <c:v>-26.850844682285732</c:v>
                </c:pt>
                <c:pt idx="6">
                  <c:v>-24.761279738246358</c:v>
                </c:pt>
                <c:pt idx="7">
                  <c:v>-24.19579074364496</c:v>
                </c:pt>
                <c:pt idx="8">
                  <c:v>-23.594652565950238</c:v>
                </c:pt>
                <c:pt idx="9">
                  <c:v>-23.745349473854969</c:v>
                </c:pt>
                <c:pt idx="10">
                  <c:v>-23.807591712846236</c:v>
                </c:pt>
                <c:pt idx="11">
                  <c:v>-19.444843286616191</c:v>
                </c:pt>
                <c:pt idx="12">
                  <c:v>-16.625488522793496</c:v>
                </c:pt>
                <c:pt idx="13">
                  <c:v>-15.605160426303145</c:v>
                </c:pt>
                <c:pt idx="14">
                  <c:v>-19.932464404438814</c:v>
                </c:pt>
                <c:pt idx="15">
                  <c:v>-12.089522787185041</c:v>
                </c:pt>
                <c:pt idx="16">
                  <c:v>-10.197723205202786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3C0-41D1-85C3-30CEEEC7A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0448224"/>
        <c:axId val="1260450720"/>
      </c:scatterChart>
      <c:valAx>
        <c:axId val="1260448224"/>
        <c:scaling>
          <c:orientation val="minMax"/>
          <c:max val="90"/>
        </c:scaling>
        <c:delete val="1"/>
        <c:axPos val="b"/>
        <c:numFmt formatCode="General" sourceLinked="1"/>
        <c:majorTickMark val="none"/>
        <c:minorTickMark val="none"/>
        <c:tickLblPos val="nextTo"/>
        <c:crossAx val="1260450720"/>
        <c:crosses val="autoZero"/>
        <c:crossBetween val="midCat"/>
      </c:valAx>
      <c:valAx>
        <c:axId val="126045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1" i="0" u="none" strike="noStrike" baseline="0">
                    <a:effectLst/>
                  </a:rPr>
                  <a:t>δ¹³</a:t>
                </a:r>
                <a:r>
                  <a:rPr lang="es-ES" sz="1000" b="1" i="0" u="none" strike="noStrike" baseline="0">
                    <a:effectLst/>
                  </a:rPr>
                  <a:t>C (VPDB)</a:t>
                </a:r>
                <a:r>
                  <a:rPr lang="es-ES" sz="1000" b="0" i="0" u="none" strike="noStrike" baseline="0"/>
                  <a:t> </a:t>
                </a:r>
                <a:endParaRPr lang="es-E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0448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469900</xdr:colOff>
      <xdr:row>6</xdr:row>
      <xdr:rowOff>0</xdr:rowOff>
    </xdr:from>
    <xdr:to>
      <xdr:col>22</xdr:col>
      <xdr:colOff>469900</xdr:colOff>
      <xdr:row>18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A280F8-F490-40DE-B1E7-958852068C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940D9-8515-4135-BF05-982F5883D9FB}">
  <dimension ref="A1:I18"/>
  <sheetViews>
    <sheetView workbookViewId="0">
      <selection activeCell="D23" sqref="D23"/>
    </sheetView>
  </sheetViews>
  <sheetFormatPr baseColWidth="10" defaultRowHeight="14.5" x14ac:dyDescent="0.35"/>
  <cols>
    <col min="1" max="1" width="11.453125" style="17"/>
  </cols>
  <sheetData>
    <row r="1" spans="1:9" ht="15" thickBot="1" x14ac:dyDescent="0.4">
      <c r="A1" s="17" t="s">
        <v>134</v>
      </c>
      <c r="B1" t="s">
        <v>70</v>
      </c>
      <c r="C1" s="20" t="s">
        <v>0</v>
      </c>
      <c r="D1" s="22" t="s">
        <v>1</v>
      </c>
      <c r="E1" s="22" t="s">
        <v>2</v>
      </c>
      <c r="F1" s="1" t="s">
        <v>3</v>
      </c>
      <c r="G1" s="1" t="s">
        <v>4</v>
      </c>
      <c r="H1" s="2" t="s">
        <v>5</v>
      </c>
      <c r="I1" t="s">
        <v>69</v>
      </c>
    </row>
    <row r="2" spans="1:9" x14ac:dyDescent="0.35">
      <c r="A2" s="18">
        <f>2023.75-(B2/0.1)</f>
        <v>2003.75</v>
      </c>
      <c r="B2" s="11">
        <v>2</v>
      </c>
      <c r="C2" s="3" t="s">
        <v>6</v>
      </c>
      <c r="D2" s="4">
        <v>0.12</v>
      </c>
      <c r="E2" s="4">
        <v>1.02</v>
      </c>
      <c r="F2" s="4">
        <v>5.2585168252539383</v>
      </c>
      <c r="G2" s="4">
        <v>-22.025916222687151</v>
      </c>
      <c r="H2" s="5">
        <v>240228</v>
      </c>
      <c r="I2">
        <f>E2/D2</f>
        <v>8.5</v>
      </c>
    </row>
    <row r="3" spans="1:9" x14ac:dyDescent="0.35">
      <c r="A3" s="18">
        <f t="shared" ref="A3:A17" si="0">2023.75-(B3/0.1)</f>
        <v>1963.75</v>
      </c>
      <c r="B3" s="11">
        <v>6</v>
      </c>
      <c r="C3" s="3" t="s">
        <v>7</v>
      </c>
      <c r="D3" s="4">
        <v>0.2</v>
      </c>
      <c r="E3" s="4">
        <v>2.4300000000000002</v>
      </c>
      <c r="F3" s="4">
        <v>4.3328486369430319</v>
      </c>
      <c r="G3" s="4">
        <v>-22.902207419003187</v>
      </c>
      <c r="H3" s="5">
        <v>240228</v>
      </c>
      <c r="I3">
        <f t="shared" ref="I3:I18" si="1">E3/D3</f>
        <v>12.15</v>
      </c>
    </row>
    <row r="4" spans="1:9" x14ac:dyDescent="0.35">
      <c r="A4" s="18">
        <f t="shared" si="0"/>
        <v>1923.75</v>
      </c>
      <c r="B4" s="11">
        <v>10</v>
      </c>
      <c r="C4" s="3" t="s">
        <v>8</v>
      </c>
      <c r="D4" s="4">
        <v>0.08</v>
      </c>
      <c r="E4" s="4">
        <v>0.96</v>
      </c>
      <c r="F4" s="4">
        <v>3.7179637207767868</v>
      </c>
      <c r="G4" s="4">
        <v>-22.248407983028581</v>
      </c>
      <c r="H4" s="5">
        <v>240228</v>
      </c>
      <c r="I4">
        <f t="shared" si="1"/>
        <v>12</v>
      </c>
    </row>
    <row r="5" spans="1:9" x14ac:dyDescent="0.35">
      <c r="A5" s="18">
        <f t="shared" si="0"/>
        <v>1883.75</v>
      </c>
      <c r="B5" s="11">
        <v>14</v>
      </c>
      <c r="C5" s="3" t="s">
        <v>9</v>
      </c>
      <c r="D5" s="4">
        <v>0.16</v>
      </c>
      <c r="E5" s="4">
        <v>1.64</v>
      </c>
      <c r="F5" s="4">
        <v>3.773391486292454</v>
      </c>
      <c r="G5" s="4">
        <v>-20.031786769973728</v>
      </c>
      <c r="H5" s="5">
        <v>240228</v>
      </c>
      <c r="I5">
        <f t="shared" si="1"/>
        <v>10.25</v>
      </c>
    </row>
    <row r="6" spans="1:9" x14ac:dyDescent="0.35">
      <c r="A6" s="18">
        <f t="shared" si="0"/>
        <v>1843.75</v>
      </c>
      <c r="B6" s="11">
        <v>18</v>
      </c>
      <c r="C6" s="3" t="s">
        <v>10</v>
      </c>
      <c r="D6" s="4">
        <v>0.21</v>
      </c>
      <c r="E6" s="4">
        <v>1.96</v>
      </c>
      <c r="F6" s="4">
        <v>3.8657316989359223</v>
      </c>
      <c r="G6" s="4">
        <v>-19.685866447333535</v>
      </c>
      <c r="H6" s="5">
        <v>240228</v>
      </c>
      <c r="I6">
        <f t="shared" si="1"/>
        <v>9.3333333333333339</v>
      </c>
    </row>
    <row r="7" spans="1:9" x14ac:dyDescent="0.35">
      <c r="A7" s="18">
        <f t="shared" si="0"/>
        <v>1783.75</v>
      </c>
      <c r="B7" s="11">
        <v>24</v>
      </c>
      <c r="C7" s="3" t="s">
        <v>11</v>
      </c>
      <c r="D7" s="4">
        <v>0.12</v>
      </c>
      <c r="E7" s="4">
        <v>1.06</v>
      </c>
      <c r="F7" s="4">
        <v>4.4699235304664686</v>
      </c>
      <c r="G7" s="4">
        <v>-20.102037530521347</v>
      </c>
      <c r="H7" s="5">
        <v>240228</v>
      </c>
      <c r="I7">
        <f t="shared" si="1"/>
        <v>8.8333333333333339</v>
      </c>
    </row>
    <row r="8" spans="1:9" x14ac:dyDescent="0.35">
      <c r="A8" s="18">
        <f t="shared" si="0"/>
        <v>1723.75</v>
      </c>
      <c r="B8" s="11">
        <v>30</v>
      </c>
      <c r="C8" s="3" t="s">
        <v>12</v>
      </c>
      <c r="D8" s="4">
        <v>0.11</v>
      </c>
      <c r="E8" s="4">
        <v>1.1399999999999999</v>
      </c>
      <c r="F8" s="4">
        <v>5.0019331163019336</v>
      </c>
      <c r="G8" s="4">
        <v>-21.059005822448771</v>
      </c>
      <c r="H8" s="5">
        <v>240228</v>
      </c>
      <c r="I8">
        <f t="shared" si="1"/>
        <v>10.363636363636363</v>
      </c>
    </row>
    <row r="9" spans="1:9" x14ac:dyDescent="0.35">
      <c r="A9" s="18">
        <f t="shared" si="0"/>
        <v>1663.75</v>
      </c>
      <c r="B9" s="11">
        <v>36</v>
      </c>
      <c r="C9" s="3" t="s">
        <v>13</v>
      </c>
      <c r="D9" s="4">
        <v>0.05</v>
      </c>
      <c r="E9" s="4">
        <v>0.47</v>
      </c>
      <c r="F9" s="4">
        <v>4.1919320479550368</v>
      </c>
      <c r="G9" s="4">
        <v>-22.368152728187056</v>
      </c>
      <c r="H9" s="5">
        <v>240306</v>
      </c>
      <c r="I9">
        <f t="shared" si="1"/>
        <v>9.3999999999999986</v>
      </c>
    </row>
    <row r="10" spans="1:9" x14ac:dyDescent="0.35">
      <c r="A10" s="18">
        <f t="shared" si="0"/>
        <v>1603.75</v>
      </c>
      <c r="B10" s="11">
        <v>42</v>
      </c>
      <c r="C10" s="3" t="s">
        <v>14</v>
      </c>
      <c r="D10" s="4">
        <v>0.12</v>
      </c>
      <c r="E10" s="4">
        <v>1.04</v>
      </c>
      <c r="F10" s="4">
        <v>4.9153526413397515</v>
      </c>
      <c r="G10" s="4">
        <v>-22.086586720391363</v>
      </c>
      <c r="H10" s="5">
        <v>240228</v>
      </c>
      <c r="I10">
        <f t="shared" si="1"/>
        <v>8.6666666666666679</v>
      </c>
    </row>
    <row r="11" spans="1:9" x14ac:dyDescent="0.35">
      <c r="A11" s="18">
        <f t="shared" si="0"/>
        <v>1543.75</v>
      </c>
      <c r="B11" s="11">
        <v>48</v>
      </c>
      <c r="C11" s="3" t="s">
        <v>15</v>
      </c>
      <c r="D11" s="4">
        <v>0.14000000000000001</v>
      </c>
      <c r="E11" s="4">
        <v>1.34</v>
      </c>
      <c r="F11" s="4">
        <v>4.445331939691429</v>
      </c>
      <c r="G11" s="4">
        <v>-22.240857536654172</v>
      </c>
      <c r="H11" s="5">
        <v>240228</v>
      </c>
      <c r="I11">
        <f t="shared" si="1"/>
        <v>9.5714285714285712</v>
      </c>
    </row>
    <row r="12" spans="1:9" x14ac:dyDescent="0.35">
      <c r="A12" s="18">
        <f t="shared" si="0"/>
        <v>1523.75</v>
      </c>
      <c r="B12" s="11">
        <v>50</v>
      </c>
      <c r="C12" s="3" t="s">
        <v>16</v>
      </c>
      <c r="D12" s="4">
        <v>0.41</v>
      </c>
      <c r="E12" s="4">
        <v>5.49</v>
      </c>
      <c r="F12" s="4">
        <v>3.2222248809490495</v>
      </c>
      <c r="G12" s="4">
        <v>-19.669980950914248</v>
      </c>
      <c r="H12" s="5">
        <v>240228</v>
      </c>
      <c r="I12">
        <f t="shared" si="1"/>
        <v>13.390243902439027</v>
      </c>
    </row>
    <row r="13" spans="1:9" x14ac:dyDescent="0.35">
      <c r="A13" s="18">
        <f t="shared" si="0"/>
        <v>1463.75</v>
      </c>
      <c r="B13" s="11">
        <v>56</v>
      </c>
      <c r="C13" s="3" t="s">
        <v>17</v>
      </c>
      <c r="D13" s="4">
        <v>0.49</v>
      </c>
      <c r="E13" s="4">
        <v>5.66</v>
      </c>
      <c r="F13" s="4">
        <v>3.5853499042767329</v>
      </c>
      <c r="G13" s="4">
        <v>-20.250679911900171</v>
      </c>
      <c r="H13" s="5">
        <v>240228</v>
      </c>
      <c r="I13">
        <f t="shared" si="1"/>
        <v>11.551020408163266</v>
      </c>
    </row>
    <row r="14" spans="1:9" x14ac:dyDescent="0.35">
      <c r="A14" s="18">
        <f t="shared" si="0"/>
        <v>1403.75</v>
      </c>
      <c r="B14" s="11">
        <v>62</v>
      </c>
      <c r="C14" s="3" t="s">
        <v>18</v>
      </c>
      <c r="D14" s="4">
        <v>0.4</v>
      </c>
      <c r="E14" s="4">
        <v>5.38</v>
      </c>
      <c r="F14" s="4">
        <v>3.2405583170567884</v>
      </c>
      <c r="G14" s="4">
        <v>-19.575295980366285</v>
      </c>
      <c r="H14" s="5">
        <v>240228</v>
      </c>
      <c r="I14">
        <f t="shared" si="1"/>
        <v>13.45</v>
      </c>
    </row>
    <row r="15" spans="1:9" x14ac:dyDescent="0.35">
      <c r="A15" s="18">
        <f t="shared" si="0"/>
        <v>1343.75</v>
      </c>
      <c r="B15" s="11">
        <v>68</v>
      </c>
      <c r="C15" s="3" t="s">
        <v>19</v>
      </c>
      <c r="D15" s="4">
        <v>0.45</v>
      </c>
      <c r="E15" s="4">
        <v>5.31</v>
      </c>
      <c r="F15" s="4">
        <v>3.7612013244067843</v>
      </c>
      <c r="G15" s="4">
        <v>-21.648965040660141</v>
      </c>
      <c r="H15" s="5">
        <v>240228</v>
      </c>
      <c r="I15">
        <f t="shared" si="1"/>
        <v>11.799999999999999</v>
      </c>
    </row>
    <row r="16" spans="1:9" x14ac:dyDescent="0.35">
      <c r="A16" s="18">
        <f t="shared" si="0"/>
        <v>1283.75</v>
      </c>
      <c r="B16" s="11">
        <v>74</v>
      </c>
      <c r="C16" s="3" t="s">
        <v>20</v>
      </c>
      <c r="D16" s="4">
        <v>0.3</v>
      </c>
      <c r="E16" s="4">
        <v>4.3600000000000003</v>
      </c>
      <c r="F16" s="4">
        <v>2.9602135900352291</v>
      </c>
      <c r="G16" s="4">
        <v>-20.381295113225494</v>
      </c>
      <c r="H16" s="5">
        <v>240228</v>
      </c>
      <c r="I16">
        <f t="shared" si="1"/>
        <v>14.533333333333335</v>
      </c>
    </row>
    <row r="17" spans="1:9" x14ac:dyDescent="0.35">
      <c r="A17" s="18">
        <f t="shared" si="0"/>
        <v>1223.75</v>
      </c>
      <c r="B17" s="11">
        <v>80</v>
      </c>
      <c r="C17" s="3" t="s">
        <v>21</v>
      </c>
      <c r="D17" s="4">
        <v>0.18</v>
      </c>
      <c r="E17" s="4">
        <v>2.48</v>
      </c>
      <c r="F17" s="4">
        <v>3.4545505369866158</v>
      </c>
      <c r="G17" s="4">
        <v>-21.231086524501933</v>
      </c>
      <c r="H17" s="5">
        <v>240228</v>
      </c>
      <c r="I17">
        <f t="shared" si="1"/>
        <v>13.777777777777779</v>
      </c>
    </row>
    <row r="18" spans="1:9" x14ac:dyDescent="0.35">
      <c r="A18" s="18">
        <f>2023.75-(B18/0.1)</f>
        <v>1163.75</v>
      </c>
      <c r="B18" s="11">
        <v>86</v>
      </c>
      <c r="C18" s="3" t="s">
        <v>22</v>
      </c>
      <c r="D18" s="4">
        <v>0.2</v>
      </c>
      <c r="E18" s="4">
        <v>2.64</v>
      </c>
      <c r="F18" s="4">
        <v>3.7083052898849473</v>
      </c>
      <c r="G18" s="4">
        <v>-21.981290459134449</v>
      </c>
      <c r="H18" s="5">
        <v>240228</v>
      </c>
      <c r="I18">
        <f t="shared" si="1"/>
        <v>13.2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20B0B-7D95-44F5-A102-9D60B0CA9F7D}">
  <dimension ref="A1:I15"/>
  <sheetViews>
    <sheetView workbookViewId="0">
      <selection activeCell="A14" sqref="A14"/>
    </sheetView>
  </sheetViews>
  <sheetFormatPr baseColWidth="10" defaultRowHeight="14.5" x14ac:dyDescent="0.35"/>
  <cols>
    <col min="1" max="1" width="12" style="17" bestFit="1" customWidth="1"/>
  </cols>
  <sheetData>
    <row r="1" spans="1:9" ht="15" thickBot="1" x14ac:dyDescent="0.4">
      <c r="A1" s="17" t="s">
        <v>134</v>
      </c>
      <c r="B1" t="s">
        <v>70</v>
      </c>
      <c r="C1" s="21" t="s">
        <v>0</v>
      </c>
      <c r="D1" s="23" t="s">
        <v>1</v>
      </c>
      <c r="E1" s="23" t="s">
        <v>2</v>
      </c>
      <c r="F1" s="1" t="s">
        <v>3</v>
      </c>
      <c r="G1" s="1" t="s">
        <v>4</v>
      </c>
      <c r="H1" s="2" t="s">
        <v>5</v>
      </c>
      <c r="I1" t="s">
        <v>69</v>
      </c>
    </row>
    <row r="2" spans="1:9" x14ac:dyDescent="0.35">
      <c r="A2" s="18">
        <f>2023.75-(B2/0.621242)</f>
        <v>2022.1403213240574</v>
      </c>
      <c r="B2" s="10">
        <v>1</v>
      </c>
      <c r="C2" s="3" t="s">
        <v>42</v>
      </c>
      <c r="D2" s="4">
        <v>0.74</v>
      </c>
      <c r="E2" s="4">
        <v>6.06</v>
      </c>
      <c r="F2" s="4">
        <v>7.6100929972820106</v>
      </c>
      <c r="G2" s="4">
        <v>-22.47308987075418</v>
      </c>
      <c r="H2" s="5">
        <v>240306</v>
      </c>
      <c r="I2">
        <f>E2/D2</f>
        <v>8.1891891891891895</v>
      </c>
    </row>
    <row r="3" spans="1:9" x14ac:dyDescent="0.35">
      <c r="A3" s="18">
        <f t="shared" ref="A3:A15" si="0">2023.75-(B3/0.621242)</f>
        <v>2018.9209639721719</v>
      </c>
      <c r="B3" s="10">
        <v>3</v>
      </c>
      <c r="C3" s="3" t="s">
        <v>43</v>
      </c>
      <c r="D3" s="4">
        <v>0.64</v>
      </c>
      <c r="E3" s="4">
        <v>5.34</v>
      </c>
      <c r="F3" s="4">
        <v>7.1297619049366512</v>
      </c>
      <c r="G3" s="4">
        <v>-22.654080306313571</v>
      </c>
      <c r="H3" s="5">
        <v>240306</v>
      </c>
      <c r="I3">
        <f t="shared" ref="I3:I15" si="1">E3/D3</f>
        <v>8.34375</v>
      </c>
    </row>
    <row r="4" spans="1:9" x14ac:dyDescent="0.35">
      <c r="A4" s="18">
        <f t="shared" si="0"/>
        <v>2015.7016066202864</v>
      </c>
      <c r="B4" s="10">
        <v>5</v>
      </c>
      <c r="C4" s="3" t="s">
        <v>44</v>
      </c>
      <c r="D4" s="4">
        <v>0.54</v>
      </c>
      <c r="E4" s="4">
        <v>4.59</v>
      </c>
      <c r="F4" s="4">
        <v>7.1402153922972138</v>
      </c>
      <c r="G4" s="4">
        <v>-22.613098370184723</v>
      </c>
      <c r="H4" s="5">
        <v>240229</v>
      </c>
      <c r="I4">
        <f t="shared" si="1"/>
        <v>8.5</v>
      </c>
    </row>
    <row r="5" spans="1:9" x14ac:dyDescent="0.35">
      <c r="A5" s="18">
        <f t="shared" si="0"/>
        <v>2012.4822492684011</v>
      </c>
      <c r="B5" s="10">
        <v>7</v>
      </c>
      <c r="C5" s="3" t="s">
        <v>45</v>
      </c>
      <c r="D5" s="4">
        <v>0.49</v>
      </c>
      <c r="E5" s="4">
        <v>4.32</v>
      </c>
      <c r="F5" s="4">
        <v>7.056288292380307</v>
      </c>
      <c r="G5" s="4">
        <v>-22.519632450378403</v>
      </c>
      <c r="H5" s="5">
        <v>240229</v>
      </c>
      <c r="I5">
        <f t="shared" si="1"/>
        <v>8.8163265306122458</v>
      </c>
    </row>
    <row r="6" spans="1:9" x14ac:dyDescent="0.35">
      <c r="A6" s="18">
        <f t="shared" si="0"/>
        <v>2006.0435345646301</v>
      </c>
      <c r="B6" s="10">
        <v>11</v>
      </c>
      <c r="C6" s="3" t="s">
        <v>46</v>
      </c>
      <c r="D6" s="4">
        <v>0.54</v>
      </c>
      <c r="E6" s="4">
        <v>4.82</v>
      </c>
      <c r="F6" s="4">
        <v>6.8798206325843978</v>
      </c>
      <c r="G6" s="4">
        <v>-23.222785055482085</v>
      </c>
      <c r="H6" s="5">
        <v>240229</v>
      </c>
      <c r="I6">
        <f t="shared" si="1"/>
        <v>8.9259259259259256</v>
      </c>
    </row>
    <row r="7" spans="1:9" x14ac:dyDescent="0.35">
      <c r="A7" s="18">
        <f t="shared" si="0"/>
        <v>1999.6048198608594</v>
      </c>
      <c r="B7" s="10">
        <v>15</v>
      </c>
      <c r="C7" s="3" t="s">
        <v>47</v>
      </c>
      <c r="D7" s="4">
        <v>0.49</v>
      </c>
      <c r="E7" s="4">
        <v>4.16</v>
      </c>
      <c r="F7" s="4">
        <v>7.1050506820406243</v>
      </c>
      <c r="G7" s="4">
        <v>-22.658362253816005</v>
      </c>
      <c r="H7" s="5">
        <v>240229</v>
      </c>
      <c r="I7">
        <f t="shared" si="1"/>
        <v>8.4897959183673475</v>
      </c>
    </row>
    <row r="8" spans="1:9" x14ac:dyDescent="0.35">
      <c r="A8" s="18">
        <f t="shared" si="0"/>
        <v>1993.1661051570886</v>
      </c>
      <c r="B8" s="10">
        <v>19</v>
      </c>
      <c r="C8" s="3" t="s">
        <v>48</v>
      </c>
      <c r="D8" s="4">
        <v>0.46</v>
      </c>
      <c r="E8" s="4">
        <v>4.09</v>
      </c>
      <c r="F8" s="4">
        <v>7.1431688879786854</v>
      </c>
      <c r="G8" s="4">
        <v>-22.664122677398161</v>
      </c>
      <c r="H8" s="5">
        <v>240229</v>
      </c>
      <c r="I8">
        <f t="shared" si="1"/>
        <v>8.891304347826086</v>
      </c>
    </row>
    <row r="9" spans="1:9" x14ac:dyDescent="0.35">
      <c r="A9" s="18">
        <f t="shared" si="0"/>
        <v>1986.7273904533176</v>
      </c>
      <c r="B9" s="10">
        <v>23</v>
      </c>
      <c r="C9" s="3" t="s">
        <v>49</v>
      </c>
      <c r="D9" s="4">
        <v>0.36</v>
      </c>
      <c r="E9" s="4">
        <v>3.14</v>
      </c>
      <c r="F9" s="4">
        <v>6.867138859184104</v>
      </c>
      <c r="G9" s="4">
        <v>-22.674821420666394</v>
      </c>
      <c r="H9" s="5">
        <v>240229</v>
      </c>
      <c r="I9">
        <f t="shared" si="1"/>
        <v>8.7222222222222232</v>
      </c>
    </row>
    <row r="10" spans="1:9" x14ac:dyDescent="0.35">
      <c r="A10" s="18">
        <f t="shared" si="0"/>
        <v>1983.5080331014324</v>
      </c>
      <c r="B10" s="10">
        <v>25</v>
      </c>
      <c r="C10" s="3" t="s">
        <v>50</v>
      </c>
      <c r="D10" s="4">
        <v>0.3</v>
      </c>
      <c r="E10" s="4">
        <v>2.71</v>
      </c>
      <c r="F10" s="4">
        <v>6.1614996649258646</v>
      </c>
      <c r="G10" s="4">
        <v>-23.162999307255657</v>
      </c>
      <c r="H10" s="5">
        <v>240229</v>
      </c>
      <c r="I10">
        <f t="shared" si="1"/>
        <v>9.0333333333333332</v>
      </c>
    </row>
    <row r="11" spans="1:9" x14ac:dyDescent="0.35">
      <c r="A11" s="18">
        <f t="shared" si="0"/>
        <v>1977.0693183976614</v>
      </c>
      <c r="B11" s="10">
        <v>29</v>
      </c>
      <c r="C11" s="3" t="s">
        <v>51</v>
      </c>
      <c r="D11" s="4">
        <v>0.32</v>
      </c>
      <c r="E11" s="4">
        <v>3.37</v>
      </c>
      <c r="F11" s="4">
        <v>5.5201022423657164</v>
      </c>
      <c r="G11" s="4">
        <v>-22.768935815063827</v>
      </c>
      <c r="H11" s="5">
        <v>240325</v>
      </c>
      <c r="I11">
        <f t="shared" si="1"/>
        <v>10.53125</v>
      </c>
    </row>
    <row r="12" spans="1:9" x14ac:dyDescent="0.35">
      <c r="A12" s="18">
        <f t="shared" si="0"/>
        <v>1970.6306036938906</v>
      </c>
      <c r="B12" s="10">
        <v>33</v>
      </c>
      <c r="C12" s="3" t="s">
        <v>52</v>
      </c>
      <c r="D12" s="4">
        <v>0.44</v>
      </c>
      <c r="E12" s="4">
        <v>4.2</v>
      </c>
      <c r="F12" s="4">
        <v>6.4061549907948647</v>
      </c>
      <c r="G12" s="4">
        <v>-22.199468701102241</v>
      </c>
      <c r="H12" s="5">
        <v>240229</v>
      </c>
      <c r="I12">
        <f t="shared" si="1"/>
        <v>9.545454545454545</v>
      </c>
    </row>
    <row r="13" spans="1:9" x14ac:dyDescent="0.35">
      <c r="A13" s="18">
        <f t="shared" si="0"/>
        <v>1960.9725316382344</v>
      </c>
      <c r="B13" s="10">
        <v>39</v>
      </c>
      <c r="C13" s="3" t="s">
        <v>53</v>
      </c>
      <c r="D13" s="4">
        <v>0.47</v>
      </c>
      <c r="E13" s="4">
        <v>4.71</v>
      </c>
      <c r="F13" s="4">
        <v>6.9558637480851093</v>
      </c>
      <c r="G13" s="4">
        <v>-21.264456627849039</v>
      </c>
      <c r="H13" s="5">
        <v>240229</v>
      </c>
      <c r="I13">
        <f t="shared" si="1"/>
        <v>10.021276595744681</v>
      </c>
    </row>
    <row r="14" spans="1:9" x14ac:dyDescent="0.35">
      <c r="A14" s="18">
        <f t="shared" si="0"/>
        <v>1952.9241382585208</v>
      </c>
      <c r="B14" s="10">
        <v>44</v>
      </c>
      <c r="C14" s="3" t="s">
        <v>54</v>
      </c>
      <c r="D14" s="4">
        <v>0.43</v>
      </c>
      <c r="E14" s="4">
        <v>4.3899999999999997</v>
      </c>
      <c r="F14" s="4">
        <v>7.1570725160842912</v>
      </c>
      <c r="G14" s="4">
        <v>-21.232426465790308</v>
      </c>
      <c r="H14" s="5">
        <v>240229</v>
      </c>
      <c r="I14">
        <f t="shared" si="1"/>
        <v>10.209302325581394</v>
      </c>
    </row>
    <row r="15" spans="1:9" x14ac:dyDescent="0.35">
      <c r="A15" s="18">
        <f t="shared" si="0"/>
        <v>1944.8757448788074</v>
      </c>
      <c r="B15" s="10">
        <v>49</v>
      </c>
      <c r="C15" s="3" t="s">
        <v>55</v>
      </c>
      <c r="D15" s="4">
        <v>0.16</v>
      </c>
      <c r="E15" s="4">
        <v>1.83</v>
      </c>
      <c r="F15" s="4">
        <v>4.4704721219426267</v>
      </c>
      <c r="G15" s="4">
        <v>-22.085686887734251</v>
      </c>
      <c r="H15" s="5">
        <v>240229</v>
      </c>
      <c r="I15">
        <f t="shared" si="1"/>
        <v>11.4375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15325-E7B5-4EDB-8C79-95EF24BF5BF6}">
  <dimension ref="A1:I14"/>
  <sheetViews>
    <sheetView workbookViewId="0">
      <selection activeCell="A13" sqref="A13"/>
    </sheetView>
  </sheetViews>
  <sheetFormatPr baseColWidth="10" defaultRowHeight="14.5" x14ac:dyDescent="0.35"/>
  <cols>
    <col min="1" max="1" width="12" style="17" bestFit="1" customWidth="1"/>
  </cols>
  <sheetData>
    <row r="1" spans="1:9" ht="15" thickBot="1" x14ac:dyDescent="0.4">
      <c r="A1" s="17" t="s">
        <v>134</v>
      </c>
      <c r="B1" t="s">
        <v>70</v>
      </c>
      <c r="C1" s="21" t="s">
        <v>0</v>
      </c>
      <c r="D1" s="23" t="s">
        <v>1</v>
      </c>
      <c r="E1" s="23" t="s">
        <v>2</v>
      </c>
      <c r="F1" s="1" t="s">
        <v>3</v>
      </c>
      <c r="G1" s="1" t="s">
        <v>4</v>
      </c>
      <c r="H1" s="2" t="s">
        <v>5</v>
      </c>
      <c r="I1" t="s">
        <v>69</v>
      </c>
    </row>
    <row r="2" spans="1:9" x14ac:dyDescent="0.35">
      <c r="A2" s="18">
        <f>2023.75-(B2/0.532646048)</f>
        <v>2021.8725806447737</v>
      </c>
      <c r="B2" s="10">
        <v>1</v>
      </c>
      <c r="C2" s="3" t="s">
        <v>56</v>
      </c>
      <c r="D2" s="4">
        <v>0.42</v>
      </c>
      <c r="E2" s="4">
        <v>3.59</v>
      </c>
      <c r="F2" s="4">
        <v>7.8751986664629268</v>
      </c>
      <c r="G2" s="4">
        <v>-22.498870135293135</v>
      </c>
      <c r="H2" s="5">
        <v>240228</v>
      </c>
      <c r="I2">
        <f>E2/D2</f>
        <v>8.5476190476190474</v>
      </c>
    </row>
    <row r="3" spans="1:9" x14ac:dyDescent="0.35">
      <c r="A3" s="18">
        <f t="shared" ref="A3:A14" si="0">2023.75-(B3/0.532646048)</f>
        <v>2019.9951612895475</v>
      </c>
      <c r="B3" s="10">
        <v>2</v>
      </c>
      <c r="C3" s="3" t="s">
        <v>57</v>
      </c>
      <c r="D3" s="4">
        <v>0.76</v>
      </c>
      <c r="E3" s="4">
        <v>6.52</v>
      </c>
      <c r="F3" s="4">
        <v>7.1440737004295176</v>
      </c>
      <c r="G3" s="4">
        <v>-22.463487150619496</v>
      </c>
      <c r="H3" s="5">
        <v>240228</v>
      </c>
      <c r="I3">
        <f t="shared" ref="I3:I14" si="1">E3/D3</f>
        <v>8.5789473684210513</v>
      </c>
    </row>
    <row r="4" spans="1:9" x14ac:dyDescent="0.35">
      <c r="A4" s="18">
        <f t="shared" si="0"/>
        <v>2016.2403225790947</v>
      </c>
      <c r="B4" s="10">
        <v>4</v>
      </c>
      <c r="C4" s="3" t="s">
        <v>58</v>
      </c>
      <c r="D4" s="4">
        <v>0.47</v>
      </c>
      <c r="E4" s="4">
        <v>4.18</v>
      </c>
      <c r="F4" s="4">
        <v>6.7292616026956855</v>
      </c>
      <c r="G4" s="4">
        <v>-22.715289362228511</v>
      </c>
      <c r="H4" s="5">
        <v>240325</v>
      </c>
      <c r="I4">
        <f t="shared" si="1"/>
        <v>8.8936170212765955</v>
      </c>
    </row>
    <row r="5" spans="1:9" x14ac:dyDescent="0.35">
      <c r="A5" s="18">
        <f t="shared" si="0"/>
        <v>2008.7306451581896</v>
      </c>
      <c r="B5" s="10">
        <v>8</v>
      </c>
      <c r="C5" s="3" t="s">
        <v>59</v>
      </c>
      <c r="D5" s="4">
        <v>0.51</v>
      </c>
      <c r="E5" s="4">
        <v>4.26</v>
      </c>
      <c r="F5" s="4">
        <v>8.4352234363197951</v>
      </c>
      <c r="G5" s="4">
        <v>-22.285093945251063</v>
      </c>
      <c r="H5" s="5">
        <v>240228</v>
      </c>
      <c r="I5">
        <f t="shared" si="1"/>
        <v>8.352941176470587</v>
      </c>
    </row>
    <row r="6" spans="1:9" x14ac:dyDescent="0.35">
      <c r="A6" s="18">
        <f t="shared" si="0"/>
        <v>2001.2209677372844</v>
      </c>
      <c r="B6" s="10">
        <v>12</v>
      </c>
      <c r="C6" s="3" t="s">
        <v>60</v>
      </c>
      <c r="D6" s="4">
        <v>0.3</v>
      </c>
      <c r="E6" s="4">
        <v>2.58</v>
      </c>
      <c r="F6" s="4">
        <v>7.9062161933735551</v>
      </c>
      <c r="G6" s="4">
        <v>-21.855653307585477</v>
      </c>
      <c r="H6" s="5">
        <v>240228</v>
      </c>
      <c r="I6">
        <f t="shared" si="1"/>
        <v>8.6000000000000014</v>
      </c>
    </row>
    <row r="7" spans="1:9" x14ac:dyDescent="0.35">
      <c r="A7" s="18">
        <f t="shared" si="0"/>
        <v>1993.7112903163791</v>
      </c>
      <c r="B7" s="10">
        <v>16</v>
      </c>
      <c r="C7" s="3" t="s">
        <v>61</v>
      </c>
      <c r="D7" s="4">
        <v>0.18</v>
      </c>
      <c r="E7" s="4">
        <v>1.55</v>
      </c>
      <c r="F7" s="4">
        <v>7.3097218750526123</v>
      </c>
      <c r="G7" s="4">
        <v>-20.998011158330829</v>
      </c>
      <c r="H7" s="5">
        <v>240228</v>
      </c>
      <c r="I7">
        <f t="shared" si="1"/>
        <v>8.6111111111111125</v>
      </c>
    </row>
    <row r="8" spans="1:9" x14ac:dyDescent="0.35">
      <c r="A8" s="18">
        <f t="shared" si="0"/>
        <v>1986.2016128954738</v>
      </c>
      <c r="B8" s="10">
        <v>20</v>
      </c>
      <c r="C8" s="3" t="s">
        <v>62</v>
      </c>
      <c r="D8" s="4">
        <v>0.42</v>
      </c>
      <c r="E8" s="4">
        <v>3.77</v>
      </c>
      <c r="F8" s="4">
        <v>6.9030143714467371</v>
      </c>
      <c r="G8" s="4">
        <v>-21.644861812000482</v>
      </c>
      <c r="H8" s="5">
        <v>240228</v>
      </c>
      <c r="I8">
        <f t="shared" si="1"/>
        <v>8.9761904761904763</v>
      </c>
    </row>
    <row r="9" spans="1:9" x14ac:dyDescent="0.35">
      <c r="A9" s="18">
        <f t="shared" si="0"/>
        <v>1978.6919354745687</v>
      </c>
      <c r="B9" s="10">
        <v>24</v>
      </c>
      <c r="C9" s="3" t="s">
        <v>63</v>
      </c>
      <c r="D9" s="4">
        <v>0.33</v>
      </c>
      <c r="E9" s="4">
        <v>3.3</v>
      </c>
      <c r="F9" s="4">
        <v>7.0877959160768347</v>
      </c>
      <c r="G9" s="4">
        <v>-19.873361391763709</v>
      </c>
      <c r="H9" s="5">
        <v>240228</v>
      </c>
      <c r="I9">
        <f t="shared" si="1"/>
        <v>9.9999999999999982</v>
      </c>
    </row>
    <row r="10" spans="1:9" x14ac:dyDescent="0.35">
      <c r="A10" s="18">
        <f t="shared" si="0"/>
        <v>1971.1822580536634</v>
      </c>
      <c r="B10" s="10">
        <v>28</v>
      </c>
      <c r="C10" s="3" t="s">
        <v>64</v>
      </c>
      <c r="D10" s="4">
        <v>0.26</v>
      </c>
      <c r="E10" s="4">
        <v>2.4</v>
      </c>
      <c r="F10" s="4">
        <v>6.4237267094854369</v>
      </c>
      <c r="G10" s="4">
        <v>-20.857235378143162</v>
      </c>
      <c r="H10" s="5">
        <v>240228</v>
      </c>
      <c r="I10">
        <f t="shared" si="1"/>
        <v>9.2307692307692299</v>
      </c>
    </row>
    <row r="11" spans="1:9" x14ac:dyDescent="0.35">
      <c r="A11" s="18">
        <f t="shared" si="0"/>
        <v>1963.6725806327581</v>
      </c>
      <c r="B11" s="10">
        <v>32</v>
      </c>
      <c r="C11" s="3" t="s">
        <v>65</v>
      </c>
      <c r="D11" s="4">
        <v>0.18</v>
      </c>
      <c r="E11" s="4">
        <v>1.68</v>
      </c>
      <c r="F11" s="4">
        <v>7.0257030290487954</v>
      </c>
      <c r="G11" s="4">
        <v>-19.611878066730508</v>
      </c>
      <c r="H11" s="5">
        <v>240228</v>
      </c>
      <c r="I11">
        <f t="shared" si="1"/>
        <v>9.3333333333333339</v>
      </c>
    </row>
    <row r="12" spans="1:9" x14ac:dyDescent="0.35">
      <c r="A12" s="18">
        <f t="shared" si="0"/>
        <v>1952.4080645014003</v>
      </c>
      <c r="B12" s="10">
        <v>38</v>
      </c>
      <c r="C12" s="3" t="s">
        <v>66</v>
      </c>
      <c r="D12" s="4">
        <v>0.19</v>
      </c>
      <c r="E12" s="4">
        <v>1.6</v>
      </c>
      <c r="F12" s="4">
        <v>6.0964875720845679</v>
      </c>
      <c r="G12" s="4">
        <v>-19.745336407679655</v>
      </c>
      <c r="H12" s="5">
        <v>240229</v>
      </c>
      <c r="I12">
        <f t="shared" si="1"/>
        <v>8.4210526315789469</v>
      </c>
    </row>
    <row r="13" spans="1:9" x14ac:dyDescent="0.35">
      <c r="A13" s="18">
        <f t="shared" si="0"/>
        <v>1941.1435483700425</v>
      </c>
      <c r="B13" s="10">
        <v>44</v>
      </c>
      <c r="C13" s="3" t="s">
        <v>67</v>
      </c>
      <c r="D13" s="4">
        <v>0.27</v>
      </c>
      <c r="E13" s="4">
        <v>2.39</v>
      </c>
      <c r="F13" s="4">
        <v>6.092144336891141</v>
      </c>
      <c r="G13" s="4">
        <v>-19.939271274125367</v>
      </c>
      <c r="H13" s="5">
        <v>240229</v>
      </c>
      <c r="I13">
        <f t="shared" si="1"/>
        <v>8.8518518518518512</v>
      </c>
    </row>
    <row r="14" spans="1:9" x14ac:dyDescent="0.35">
      <c r="A14" s="18">
        <f t="shared" si="0"/>
        <v>1933.6338709491374</v>
      </c>
      <c r="B14" s="10">
        <v>48</v>
      </c>
      <c r="C14" s="3" t="s">
        <v>68</v>
      </c>
      <c r="D14" s="4">
        <v>0.17</v>
      </c>
      <c r="E14" s="4">
        <v>1.84</v>
      </c>
      <c r="F14" s="4">
        <v>5.1082373565691856</v>
      </c>
      <c r="G14" s="4">
        <v>-20.895310575995609</v>
      </c>
      <c r="H14" s="5">
        <v>240229</v>
      </c>
      <c r="I14">
        <f t="shared" si="1"/>
        <v>10.823529411764705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DE6D4-99F9-49ED-9A70-8C8A9738EB0D}">
  <dimension ref="A1:J20"/>
  <sheetViews>
    <sheetView tabSelected="1" zoomScale="93" workbookViewId="0">
      <selection activeCell="J32" sqref="J32"/>
    </sheetView>
  </sheetViews>
  <sheetFormatPr baseColWidth="10" defaultRowHeight="14.5" x14ac:dyDescent="0.35"/>
  <cols>
    <col min="1" max="1" width="11.453125" style="17"/>
    <col min="2" max="2" width="10.81640625" style="10"/>
  </cols>
  <sheetData>
    <row r="1" spans="1:10" ht="15" thickBot="1" x14ac:dyDescent="0.4">
      <c r="A1" s="17" t="s">
        <v>134</v>
      </c>
      <c r="B1" s="10" t="s">
        <v>70</v>
      </c>
      <c r="C1" s="21" t="s">
        <v>0</v>
      </c>
      <c r="D1" s="23" t="s">
        <v>1</v>
      </c>
      <c r="E1" s="23" t="s">
        <v>2</v>
      </c>
      <c r="F1" s="1" t="s">
        <v>3</v>
      </c>
      <c r="G1" s="1" t="s">
        <v>4</v>
      </c>
      <c r="H1" s="2" t="s">
        <v>5</v>
      </c>
      <c r="J1" s="10" t="s">
        <v>69</v>
      </c>
    </row>
    <row r="2" spans="1:10" x14ac:dyDescent="0.35">
      <c r="A2" s="19">
        <f>2023-(B2/0.109421235735625)</f>
        <v>2004.7220123081754</v>
      </c>
      <c r="B2" s="10">
        <v>2</v>
      </c>
      <c r="C2" s="3" t="s">
        <v>23</v>
      </c>
      <c r="D2" s="4">
        <v>2.14</v>
      </c>
      <c r="E2" s="4">
        <v>18.059999999999999</v>
      </c>
      <c r="F2" s="4">
        <v>6.2263301630531931</v>
      </c>
      <c r="G2" s="4">
        <v>-24.739918053271911</v>
      </c>
      <c r="H2" s="5">
        <v>240325</v>
      </c>
      <c r="I2" s="6"/>
      <c r="J2" s="9">
        <f t="shared" ref="J2:J20" si="0">E2/D2</f>
        <v>8.4392523364485967</v>
      </c>
    </row>
    <row r="3" spans="1:10" x14ac:dyDescent="0.35">
      <c r="A3" s="19">
        <f t="shared" ref="A3:A20" si="1">2023-(B3/0.109421235735625)</f>
        <v>1959.0270430786136</v>
      </c>
      <c r="B3" s="10">
        <v>7</v>
      </c>
      <c r="C3" s="3" t="s">
        <v>24</v>
      </c>
      <c r="D3" s="4">
        <v>0.77</v>
      </c>
      <c r="E3" s="4">
        <v>6.73</v>
      </c>
      <c r="F3" s="4">
        <v>7.2897585038733901</v>
      </c>
      <c r="G3" s="4">
        <v>-22.318198993549341</v>
      </c>
      <c r="H3" s="5">
        <v>240306</v>
      </c>
      <c r="I3" s="8"/>
      <c r="J3" s="9">
        <f t="shared" si="0"/>
        <v>8.7402597402597397</v>
      </c>
    </row>
    <row r="4" spans="1:10" x14ac:dyDescent="0.35">
      <c r="A4" s="19">
        <f t="shared" si="1"/>
        <v>1931.6100615408766</v>
      </c>
      <c r="B4" s="10">
        <v>10</v>
      </c>
      <c r="C4" s="3" t="s">
        <v>25</v>
      </c>
      <c r="D4" s="4">
        <v>1.73</v>
      </c>
      <c r="E4" s="4">
        <v>19.16</v>
      </c>
      <c r="F4" s="4">
        <v>7.0997633353040204</v>
      </c>
      <c r="G4" s="4">
        <v>-26.744713854935501</v>
      </c>
      <c r="H4" s="5">
        <v>240325</v>
      </c>
      <c r="I4" s="6"/>
      <c r="J4" s="9">
        <f t="shared" si="0"/>
        <v>11.075144508670521</v>
      </c>
    </row>
    <row r="5" spans="1:10" x14ac:dyDescent="0.35">
      <c r="A5" s="19">
        <f t="shared" si="1"/>
        <v>1904.1930800031396</v>
      </c>
      <c r="B5" s="10">
        <v>13</v>
      </c>
      <c r="C5" s="3" t="s">
        <v>26</v>
      </c>
      <c r="D5" s="4">
        <v>1.67</v>
      </c>
      <c r="E5" s="4">
        <v>17.98</v>
      </c>
      <c r="F5" s="4">
        <v>6.9977081202991123</v>
      </c>
      <c r="G5" s="4">
        <v>-26.68258501746379</v>
      </c>
      <c r="H5" s="5">
        <v>240306</v>
      </c>
      <c r="I5" s="6"/>
      <c r="J5" s="9">
        <f t="shared" si="0"/>
        <v>10.766467065868264</v>
      </c>
    </row>
    <row r="6" spans="1:10" x14ac:dyDescent="0.35">
      <c r="A6" s="19">
        <f t="shared" si="1"/>
        <v>1876.7760984654026</v>
      </c>
      <c r="B6" s="10">
        <v>16</v>
      </c>
      <c r="C6" s="3" t="s">
        <v>27</v>
      </c>
      <c r="D6" s="4">
        <v>1.37</v>
      </c>
      <c r="E6" s="4">
        <v>15.29</v>
      </c>
      <c r="F6" s="4">
        <v>6.2745026944028739</v>
      </c>
      <c r="G6" s="4">
        <v>-26.068266470727103</v>
      </c>
      <c r="H6" s="5">
        <v>240325</v>
      </c>
      <c r="I6" s="6"/>
      <c r="J6" s="9">
        <f t="shared" si="0"/>
        <v>11.160583941605838</v>
      </c>
    </row>
    <row r="7" spans="1:10" x14ac:dyDescent="0.35">
      <c r="A7" s="19">
        <f t="shared" si="1"/>
        <v>1849.3591169276656</v>
      </c>
      <c r="B7" s="10">
        <v>19</v>
      </c>
      <c r="C7" s="3" t="s">
        <v>28</v>
      </c>
      <c r="D7" s="4">
        <v>2.0099999999999998</v>
      </c>
      <c r="E7" s="4">
        <v>22.68</v>
      </c>
      <c r="F7" s="4">
        <v>6.9975972019451138</v>
      </c>
      <c r="G7" s="4">
        <v>-26.850844682285732</v>
      </c>
      <c r="H7" s="5">
        <v>240306</v>
      </c>
      <c r="I7" s="6"/>
      <c r="J7" s="9">
        <f t="shared" si="0"/>
        <v>11.28358208955224</v>
      </c>
    </row>
    <row r="8" spans="1:10" x14ac:dyDescent="0.35">
      <c r="A8" s="19">
        <f t="shared" si="1"/>
        <v>1821.9421353899286</v>
      </c>
      <c r="B8" s="10">
        <v>22</v>
      </c>
      <c r="C8" s="3" t="s">
        <v>29</v>
      </c>
      <c r="D8" s="4">
        <v>0.89</v>
      </c>
      <c r="E8" s="4">
        <v>8.0399999999999991</v>
      </c>
      <c r="F8" s="4">
        <v>4.3473730991330335</v>
      </c>
      <c r="G8" s="4">
        <v>-24.761279738246358</v>
      </c>
      <c r="H8" s="5">
        <v>240306</v>
      </c>
      <c r="I8" s="6"/>
      <c r="J8" s="9">
        <f t="shared" si="0"/>
        <v>9.0337078651685374</v>
      </c>
    </row>
    <row r="9" spans="1:10" x14ac:dyDescent="0.35">
      <c r="A9" s="19">
        <f t="shared" si="1"/>
        <v>1794.5251538521916</v>
      </c>
      <c r="B9" s="10">
        <v>25</v>
      </c>
      <c r="C9" s="3" t="s">
        <v>30</v>
      </c>
      <c r="D9" s="4">
        <v>0.85</v>
      </c>
      <c r="E9" s="4">
        <v>7.99</v>
      </c>
      <c r="F9" s="4">
        <v>3.8412617065040915</v>
      </c>
      <c r="G9" s="4">
        <v>-24.19579074364496</v>
      </c>
      <c r="H9" s="5">
        <v>240306</v>
      </c>
      <c r="I9" s="6"/>
      <c r="J9" s="9">
        <f t="shared" si="0"/>
        <v>9.4</v>
      </c>
    </row>
    <row r="10" spans="1:10" x14ac:dyDescent="0.35">
      <c r="A10" s="19">
        <f t="shared" si="1"/>
        <v>1767.1081723144546</v>
      </c>
      <c r="B10" s="10">
        <v>28</v>
      </c>
      <c r="C10" s="3" t="s">
        <v>31</v>
      </c>
      <c r="D10" s="4">
        <v>0.83</v>
      </c>
      <c r="E10" s="4">
        <v>7.79</v>
      </c>
      <c r="F10" s="4">
        <v>3.5429180731735412</v>
      </c>
      <c r="G10" s="4">
        <v>-23.594652565950238</v>
      </c>
      <c r="H10" s="5">
        <v>240229</v>
      </c>
      <c r="I10" s="7"/>
      <c r="J10" s="9">
        <f t="shared" si="0"/>
        <v>9.3855421686747</v>
      </c>
    </row>
    <row r="11" spans="1:10" x14ac:dyDescent="0.35">
      <c r="A11" s="19">
        <f t="shared" si="1"/>
        <v>1739.6911907767176</v>
      </c>
      <c r="B11" s="10">
        <v>31</v>
      </c>
      <c r="C11" s="3" t="s">
        <v>32</v>
      </c>
      <c r="D11" s="4">
        <v>0.87</v>
      </c>
      <c r="E11" s="4">
        <v>9.6199999999999992</v>
      </c>
      <c r="F11" s="4">
        <v>3.1552070293220433</v>
      </c>
      <c r="G11" s="4">
        <v>-23.745349473854969</v>
      </c>
      <c r="H11" s="5">
        <v>240229</v>
      </c>
      <c r="I11" s="7"/>
      <c r="J11" s="9">
        <f t="shared" si="0"/>
        <v>11.057471264367816</v>
      </c>
    </row>
    <row r="12" spans="1:10" x14ac:dyDescent="0.35">
      <c r="A12" s="19">
        <f t="shared" si="1"/>
        <v>1712.2742092389806</v>
      </c>
      <c r="B12" s="10">
        <v>34</v>
      </c>
      <c r="C12" s="3" t="s">
        <v>33</v>
      </c>
      <c r="D12" s="4">
        <v>0.81</v>
      </c>
      <c r="E12" s="4">
        <v>7.98</v>
      </c>
      <c r="F12" s="4">
        <v>3.1727797346822908</v>
      </c>
      <c r="G12" s="4">
        <v>-23.807591712846236</v>
      </c>
      <c r="H12" s="5">
        <v>240306</v>
      </c>
      <c r="I12" s="6"/>
      <c r="J12" s="9">
        <f t="shared" si="0"/>
        <v>9.8518518518518512</v>
      </c>
    </row>
    <row r="13" spans="1:10" x14ac:dyDescent="0.35">
      <c r="A13" s="19">
        <f t="shared" si="1"/>
        <v>1684.8572277012436</v>
      </c>
      <c r="B13" s="10">
        <v>37</v>
      </c>
      <c r="C13" s="3" t="s">
        <v>34</v>
      </c>
      <c r="D13" s="4">
        <v>0.67</v>
      </c>
      <c r="E13" s="4">
        <v>6.73</v>
      </c>
      <c r="F13" s="4">
        <v>3.5170369869579932</v>
      </c>
      <c r="G13" s="4">
        <v>-19.444843286616191</v>
      </c>
      <c r="H13" s="5">
        <v>240229</v>
      </c>
      <c r="I13" s="7"/>
      <c r="J13" s="9">
        <f t="shared" si="0"/>
        <v>10.044776119402986</v>
      </c>
    </row>
    <row r="14" spans="1:10" x14ac:dyDescent="0.35">
      <c r="A14" s="19">
        <f t="shared" si="1"/>
        <v>1630.0232646257696</v>
      </c>
      <c r="B14" s="10">
        <v>43</v>
      </c>
      <c r="C14" s="3" t="s">
        <v>35</v>
      </c>
      <c r="D14" s="4">
        <v>0.52</v>
      </c>
      <c r="E14" s="4">
        <v>6.29</v>
      </c>
      <c r="F14" s="4">
        <v>3.2476834042067302</v>
      </c>
      <c r="G14" s="4">
        <v>-16.625488522793496</v>
      </c>
      <c r="H14" s="5">
        <v>240229</v>
      </c>
      <c r="I14" s="7"/>
      <c r="J14" s="9">
        <f t="shared" si="0"/>
        <v>12.096153846153845</v>
      </c>
    </row>
    <row r="15" spans="1:10" x14ac:dyDescent="0.35">
      <c r="A15" s="19">
        <f t="shared" si="1"/>
        <v>1602.6062830880323</v>
      </c>
      <c r="B15" s="10">
        <v>46</v>
      </c>
      <c r="C15" s="3" t="s">
        <v>36</v>
      </c>
      <c r="D15" s="4">
        <v>0.47</v>
      </c>
      <c r="E15" s="4">
        <v>5.87</v>
      </c>
      <c r="F15" s="4">
        <v>3.3387926050870451</v>
      </c>
      <c r="G15" s="4">
        <v>-15.605160426303145</v>
      </c>
      <c r="H15" s="5">
        <v>240229</v>
      </c>
      <c r="I15" s="7"/>
      <c r="J15" s="9">
        <f t="shared" si="0"/>
        <v>12.48936170212766</v>
      </c>
    </row>
    <row r="16" spans="1:10" x14ac:dyDescent="0.35">
      <c r="A16" s="19">
        <f t="shared" si="1"/>
        <v>1529.4943323207337</v>
      </c>
      <c r="B16" s="10">
        <v>54</v>
      </c>
      <c r="C16" s="3" t="s">
        <v>37</v>
      </c>
      <c r="D16" s="4">
        <v>0.34</v>
      </c>
      <c r="E16" s="4">
        <v>2.99</v>
      </c>
      <c r="F16" s="4">
        <v>3.4711193256655384</v>
      </c>
      <c r="G16" s="4">
        <v>-19.932464404438814</v>
      </c>
      <c r="H16" s="5">
        <v>240229</v>
      </c>
      <c r="I16" s="7"/>
      <c r="J16" s="9">
        <f t="shared" si="0"/>
        <v>8.7941176470588243</v>
      </c>
    </row>
    <row r="17" spans="1:10" x14ac:dyDescent="0.35">
      <c r="A17" s="19">
        <f t="shared" si="1"/>
        <v>1465.5213753993476</v>
      </c>
      <c r="B17" s="10">
        <v>61</v>
      </c>
      <c r="C17" s="3" t="s">
        <v>38</v>
      </c>
      <c r="D17" s="4">
        <v>0.28999999999999998</v>
      </c>
      <c r="E17" s="4">
        <v>4.46</v>
      </c>
      <c r="F17" s="4">
        <v>2.4503753787035487</v>
      </c>
      <c r="G17" s="4">
        <v>-12.089522787185041</v>
      </c>
      <c r="H17" s="5">
        <v>240229</v>
      </c>
      <c r="I17" s="8"/>
      <c r="J17" s="9">
        <f t="shared" si="0"/>
        <v>15.379310344827587</v>
      </c>
    </row>
    <row r="18" spans="1:10" x14ac:dyDescent="0.35">
      <c r="A18" s="19">
        <f t="shared" si="1"/>
        <v>1410.6874123238733</v>
      </c>
      <c r="B18" s="10">
        <v>67</v>
      </c>
      <c r="C18" s="3" t="s">
        <v>39</v>
      </c>
      <c r="D18" s="4">
        <v>0.17</v>
      </c>
      <c r="E18" s="4">
        <v>3.53</v>
      </c>
      <c r="F18" s="4">
        <v>3.4967620554343131</v>
      </c>
      <c r="G18" s="4">
        <v>-10.197723205202786</v>
      </c>
      <c r="H18" s="5">
        <v>240229</v>
      </c>
      <c r="I18" s="8"/>
      <c r="J18" s="9">
        <f t="shared" si="0"/>
        <v>20.764705882352938</v>
      </c>
    </row>
    <row r="19" spans="1:10" x14ac:dyDescent="0.35">
      <c r="A19" s="19">
        <f t="shared" si="1"/>
        <v>1374.1314369402239</v>
      </c>
      <c r="B19" s="10">
        <v>71</v>
      </c>
      <c r="C19" s="3" t="s">
        <v>40</v>
      </c>
      <c r="D19" s="4">
        <v>0.14000000000000001</v>
      </c>
      <c r="E19" s="4">
        <v>3.35</v>
      </c>
      <c r="F19" s="4">
        <v>4.2612193098994222</v>
      </c>
      <c r="G19" s="4"/>
      <c r="H19" s="5">
        <v>240306</v>
      </c>
      <c r="I19" s="6"/>
      <c r="J19" s="9">
        <f t="shared" si="0"/>
        <v>23.928571428571427</v>
      </c>
    </row>
    <row r="20" spans="1:10" x14ac:dyDescent="0.35">
      <c r="A20" s="19">
        <f t="shared" si="1"/>
        <v>1346.7144554024871</v>
      </c>
      <c r="B20" s="10">
        <v>74</v>
      </c>
      <c r="C20" s="3" t="s">
        <v>41</v>
      </c>
      <c r="D20" s="4">
        <v>0.14000000000000001</v>
      </c>
      <c r="E20" s="4">
        <v>2.39</v>
      </c>
      <c r="F20" s="4">
        <v>4.5564825413186059</v>
      </c>
      <c r="G20" s="4"/>
      <c r="H20" s="5">
        <v>240306</v>
      </c>
      <c r="I20" s="6"/>
      <c r="J20" s="9">
        <f t="shared" si="0"/>
        <v>17.071428571428569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3FE83-A048-40D0-AEEF-D7899B7822A6}">
  <dimension ref="A1:I17"/>
  <sheetViews>
    <sheetView workbookViewId="0">
      <selection activeCell="B18" sqref="B18"/>
    </sheetView>
  </sheetViews>
  <sheetFormatPr baseColWidth="10" defaultRowHeight="14.5" x14ac:dyDescent="0.35"/>
  <cols>
    <col min="9" max="9" width="12" bestFit="1" customWidth="1"/>
  </cols>
  <sheetData>
    <row r="1" spans="1:9" ht="15" thickBot="1" x14ac:dyDescent="0.4">
      <c r="A1" t="s">
        <v>134</v>
      </c>
      <c r="B1" t="s">
        <v>70</v>
      </c>
      <c r="C1" s="21" t="s">
        <v>0</v>
      </c>
      <c r="D1" s="23" t="s">
        <v>1</v>
      </c>
      <c r="E1" s="23" t="s">
        <v>2</v>
      </c>
      <c r="F1" s="1" t="s">
        <v>3</v>
      </c>
      <c r="G1" s="1" t="s">
        <v>4</v>
      </c>
      <c r="H1" s="2" t="s">
        <v>5</v>
      </c>
      <c r="I1" t="s">
        <v>69</v>
      </c>
    </row>
    <row r="2" spans="1:9" x14ac:dyDescent="0.35">
      <c r="A2">
        <f>2014.75-(B2/0.15)</f>
        <v>2008.0833333333333</v>
      </c>
      <c r="B2">
        <v>1</v>
      </c>
      <c r="C2" s="3" t="s">
        <v>71</v>
      </c>
      <c r="D2" s="4">
        <v>0.36</v>
      </c>
      <c r="E2" s="4">
        <v>3.47</v>
      </c>
      <c r="F2" s="4">
        <v>6.9171080000000007</v>
      </c>
      <c r="G2" s="4">
        <v>-25.226917</v>
      </c>
      <c r="H2" s="12">
        <v>251017</v>
      </c>
      <c r="I2">
        <f>E2/D2</f>
        <v>9.6388888888888893</v>
      </c>
    </row>
    <row r="3" spans="1:9" x14ac:dyDescent="0.35">
      <c r="A3">
        <f t="shared" ref="A3:A17" si="0">2014.75-(B3/0.15)</f>
        <v>1914.75</v>
      </c>
      <c r="B3">
        <v>15</v>
      </c>
      <c r="C3" s="3" t="s">
        <v>72</v>
      </c>
      <c r="D3" s="4">
        <v>0.18</v>
      </c>
      <c r="E3" s="4">
        <v>1.45</v>
      </c>
      <c r="F3" s="4">
        <v>5.0058849619999997</v>
      </c>
      <c r="G3" s="4">
        <v>-23.896974663000002</v>
      </c>
      <c r="H3" s="13">
        <v>250717</v>
      </c>
      <c r="I3">
        <f t="shared" ref="I3:I17" si="1">E3/D3</f>
        <v>8.0555555555555554</v>
      </c>
    </row>
    <row r="4" spans="1:9" x14ac:dyDescent="0.35">
      <c r="A4">
        <f t="shared" si="0"/>
        <v>1888.0833333333333</v>
      </c>
      <c r="B4">
        <v>19</v>
      </c>
      <c r="C4" s="3" t="s">
        <v>73</v>
      </c>
      <c r="D4" s="4">
        <v>0.21</v>
      </c>
      <c r="E4" s="4">
        <v>1.85</v>
      </c>
      <c r="F4" s="4">
        <v>5.3063148269999996</v>
      </c>
      <c r="G4" s="4">
        <v>-22.841546230999999</v>
      </c>
      <c r="H4" s="13">
        <v>250717</v>
      </c>
      <c r="I4">
        <f t="shared" si="1"/>
        <v>8.8095238095238102</v>
      </c>
    </row>
    <row r="5" spans="1:9" x14ac:dyDescent="0.35">
      <c r="A5">
        <f t="shared" si="0"/>
        <v>1861.4166666666667</v>
      </c>
      <c r="B5">
        <v>23</v>
      </c>
      <c r="C5" s="3" t="s">
        <v>74</v>
      </c>
      <c r="D5" s="4">
        <v>0.14000000000000001</v>
      </c>
      <c r="E5" s="4">
        <v>1</v>
      </c>
      <c r="F5" s="4">
        <v>5.1334827389999997</v>
      </c>
      <c r="G5" s="4">
        <v>-23.541371601000002</v>
      </c>
      <c r="H5" s="13">
        <v>250717</v>
      </c>
      <c r="I5">
        <f t="shared" si="1"/>
        <v>7.1428571428571423</v>
      </c>
    </row>
    <row r="6" spans="1:9" x14ac:dyDescent="0.35">
      <c r="A6">
        <f t="shared" si="0"/>
        <v>1834.75</v>
      </c>
      <c r="B6">
        <v>27</v>
      </c>
      <c r="C6" s="3" t="s">
        <v>75</v>
      </c>
      <c r="D6" s="4">
        <v>0.19</v>
      </c>
      <c r="E6" s="4">
        <v>1.06</v>
      </c>
      <c r="F6" s="4">
        <v>5.0155303160000004</v>
      </c>
      <c r="G6" s="4">
        <v>-23.261147665999999</v>
      </c>
      <c r="H6" s="13">
        <v>250717</v>
      </c>
      <c r="I6">
        <f t="shared" si="1"/>
        <v>5.5789473684210531</v>
      </c>
    </row>
    <row r="7" spans="1:9" x14ac:dyDescent="0.35">
      <c r="A7">
        <f t="shared" si="0"/>
        <v>1994.75</v>
      </c>
      <c r="B7">
        <v>3</v>
      </c>
      <c r="C7" s="3" t="s">
        <v>76</v>
      </c>
      <c r="D7" s="4">
        <v>0.36</v>
      </c>
      <c r="E7" s="4">
        <v>3.11</v>
      </c>
      <c r="F7" s="4">
        <v>6.6791494509999998</v>
      </c>
      <c r="G7" s="4">
        <v>-25.046182962</v>
      </c>
      <c r="H7" s="13">
        <v>250717</v>
      </c>
      <c r="I7">
        <f t="shared" si="1"/>
        <v>8.6388888888888893</v>
      </c>
    </row>
    <row r="8" spans="1:9" x14ac:dyDescent="0.35">
      <c r="A8">
        <f t="shared" si="0"/>
        <v>1794.75</v>
      </c>
      <c r="B8">
        <v>33</v>
      </c>
      <c r="C8" s="3" t="s">
        <v>77</v>
      </c>
      <c r="D8" s="4">
        <v>0.1</v>
      </c>
      <c r="E8" s="4">
        <v>0.77</v>
      </c>
      <c r="F8" s="4">
        <v>6.0033380000000012</v>
      </c>
      <c r="G8" s="4">
        <v>-23.782257000000001</v>
      </c>
      <c r="H8" s="12">
        <v>251017</v>
      </c>
      <c r="I8">
        <f t="shared" si="1"/>
        <v>7.7</v>
      </c>
    </row>
    <row r="9" spans="1:9" x14ac:dyDescent="0.35">
      <c r="A9">
        <f t="shared" si="0"/>
        <v>1754.75</v>
      </c>
      <c r="B9">
        <v>39</v>
      </c>
      <c r="C9" s="3" t="s">
        <v>78</v>
      </c>
      <c r="D9" s="4">
        <v>0.14000000000000001</v>
      </c>
      <c r="E9" s="4">
        <v>0.84</v>
      </c>
      <c r="F9" s="4">
        <v>4.5954288050000001</v>
      </c>
      <c r="G9" s="4">
        <v>-22.744511982999999</v>
      </c>
      <c r="H9" s="13">
        <v>250717</v>
      </c>
      <c r="I9">
        <f t="shared" si="1"/>
        <v>5.9999999999999991</v>
      </c>
    </row>
    <row r="10" spans="1:9" x14ac:dyDescent="0.35">
      <c r="A10">
        <f t="shared" si="0"/>
        <v>1714.75</v>
      </c>
      <c r="B10">
        <v>45</v>
      </c>
      <c r="C10" s="3" t="s">
        <v>79</v>
      </c>
      <c r="D10" s="4">
        <v>0.13</v>
      </c>
      <c r="E10" s="4">
        <v>0.86</v>
      </c>
      <c r="F10" s="4">
        <v>4.5232272489999996</v>
      </c>
      <c r="G10" s="4">
        <v>-22.536979495000001</v>
      </c>
      <c r="H10" s="13">
        <v>250717</v>
      </c>
      <c r="I10">
        <f t="shared" si="1"/>
        <v>6.615384615384615</v>
      </c>
    </row>
    <row r="11" spans="1:9" x14ac:dyDescent="0.35">
      <c r="A11">
        <f t="shared" si="0"/>
        <v>1981.4166666666667</v>
      </c>
      <c r="B11">
        <v>5</v>
      </c>
      <c r="C11" s="3" t="s">
        <v>80</v>
      </c>
      <c r="D11" s="4">
        <v>0.22</v>
      </c>
      <c r="E11" s="4">
        <v>2.04</v>
      </c>
      <c r="F11" s="4">
        <v>6.1860920000000004</v>
      </c>
      <c r="G11" s="4">
        <v>-24.535544000000005</v>
      </c>
      <c r="H11" s="12">
        <v>251017</v>
      </c>
      <c r="I11">
        <f t="shared" si="1"/>
        <v>9.2727272727272734</v>
      </c>
    </row>
    <row r="12" spans="1:9" x14ac:dyDescent="0.35">
      <c r="A12">
        <f t="shared" si="0"/>
        <v>1701.4166666666665</v>
      </c>
      <c r="B12">
        <v>47</v>
      </c>
      <c r="C12" s="3" t="s">
        <v>81</v>
      </c>
      <c r="D12" s="4">
        <v>0.32</v>
      </c>
      <c r="E12" s="4">
        <v>3.54</v>
      </c>
      <c r="F12" s="4">
        <v>5.2520159999999994</v>
      </c>
      <c r="G12" s="4">
        <v>-16.775656000000001</v>
      </c>
      <c r="H12" s="12">
        <v>251017</v>
      </c>
      <c r="I12">
        <f t="shared" si="1"/>
        <v>11.0625</v>
      </c>
    </row>
    <row r="13" spans="1:9" x14ac:dyDescent="0.35">
      <c r="A13">
        <f t="shared" si="0"/>
        <v>1648.0833333333333</v>
      </c>
      <c r="B13">
        <v>55</v>
      </c>
      <c r="C13" s="3" t="s">
        <v>82</v>
      </c>
      <c r="D13" s="4">
        <v>0.2</v>
      </c>
      <c r="E13" s="4">
        <v>1.88</v>
      </c>
      <c r="F13" s="4">
        <v>4.416568968</v>
      </c>
      <c r="G13" s="4">
        <v>-21.413124139000001</v>
      </c>
      <c r="H13" s="13">
        <v>250717</v>
      </c>
      <c r="I13">
        <f t="shared" si="1"/>
        <v>9.3999999999999986</v>
      </c>
    </row>
    <row r="14" spans="1:9" x14ac:dyDescent="0.35">
      <c r="A14">
        <f t="shared" si="0"/>
        <v>1581.4166666666665</v>
      </c>
      <c r="B14">
        <v>65</v>
      </c>
      <c r="C14" s="3" t="s">
        <v>83</v>
      </c>
      <c r="D14" s="4">
        <v>0.19</v>
      </c>
      <c r="E14" s="4">
        <v>1.88</v>
      </c>
      <c r="F14" s="4">
        <v>5.3738519999999994</v>
      </c>
      <c r="G14" s="4">
        <v>-18.756904000000002</v>
      </c>
      <c r="H14" s="12">
        <v>251017</v>
      </c>
      <c r="I14">
        <f t="shared" si="1"/>
        <v>9.8947368421052619</v>
      </c>
    </row>
    <row r="15" spans="1:9" x14ac:dyDescent="0.35">
      <c r="A15">
        <f t="shared" si="0"/>
        <v>1501.4166666666665</v>
      </c>
      <c r="B15">
        <v>77</v>
      </c>
      <c r="C15" s="3" t="s">
        <v>84</v>
      </c>
      <c r="D15" s="4">
        <v>0.17</v>
      </c>
      <c r="E15" s="4">
        <v>1.68</v>
      </c>
      <c r="F15" s="4">
        <v>5.4043109999999999</v>
      </c>
      <c r="G15" s="4">
        <v>-18.313187000000003</v>
      </c>
      <c r="H15" s="12">
        <v>251017</v>
      </c>
      <c r="I15">
        <f t="shared" si="1"/>
        <v>9.8823529411764692</v>
      </c>
    </row>
    <row r="16" spans="1:9" x14ac:dyDescent="0.35">
      <c r="A16">
        <f t="shared" si="0"/>
        <v>1954.75</v>
      </c>
      <c r="B16">
        <v>9</v>
      </c>
      <c r="C16" s="3" t="s">
        <v>85</v>
      </c>
      <c r="D16" s="4">
        <v>0.21</v>
      </c>
      <c r="E16" s="4">
        <v>1.58</v>
      </c>
      <c r="F16" s="4">
        <v>5.5340917249999997</v>
      </c>
      <c r="G16" s="4">
        <v>-23.96461553</v>
      </c>
      <c r="H16" s="13">
        <v>250717</v>
      </c>
      <c r="I16">
        <f t="shared" si="1"/>
        <v>7.5238095238095246</v>
      </c>
    </row>
    <row r="17" spans="1:9" x14ac:dyDescent="0.35">
      <c r="A17">
        <f t="shared" si="0"/>
        <v>1434.75</v>
      </c>
      <c r="B17">
        <v>87</v>
      </c>
      <c r="C17" s="3" t="s">
        <v>86</v>
      </c>
      <c r="D17" s="4">
        <v>0.2</v>
      </c>
      <c r="E17" s="4">
        <v>1.67</v>
      </c>
      <c r="F17" s="4">
        <v>4.8508169800000003</v>
      </c>
      <c r="G17" s="4">
        <v>-20.471677115999999</v>
      </c>
      <c r="H17" s="13">
        <v>250717</v>
      </c>
      <c r="I17">
        <f t="shared" si="1"/>
        <v>8.35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629CC-E4C2-46BD-9BB5-39689070123C}">
  <dimension ref="A1:I16"/>
  <sheetViews>
    <sheetView workbookViewId="0">
      <selection activeCell="C19" sqref="C19"/>
    </sheetView>
  </sheetViews>
  <sheetFormatPr baseColWidth="10" defaultRowHeight="14.5" x14ac:dyDescent="0.35"/>
  <sheetData>
    <row r="1" spans="1:9" ht="15" thickBot="1" x14ac:dyDescent="0.4">
      <c r="A1" t="s">
        <v>134</v>
      </c>
      <c r="B1" t="s">
        <v>70</v>
      </c>
      <c r="C1" s="21" t="s">
        <v>0</v>
      </c>
      <c r="D1" s="23" t="s">
        <v>1</v>
      </c>
      <c r="E1" s="23" t="s">
        <v>2</v>
      </c>
      <c r="F1" s="1" t="s">
        <v>3</v>
      </c>
      <c r="G1" s="1" t="s">
        <v>4</v>
      </c>
      <c r="H1" s="2" t="s">
        <v>5</v>
      </c>
      <c r="I1" t="s">
        <v>69</v>
      </c>
    </row>
    <row r="2" spans="1:9" x14ac:dyDescent="0.35">
      <c r="A2">
        <f>2024.75-(B2/0.1)</f>
        <v>2014.75</v>
      </c>
      <c r="B2">
        <v>1</v>
      </c>
      <c r="C2" s="3" t="s">
        <v>87</v>
      </c>
      <c r="D2" s="4">
        <v>0.3</v>
      </c>
      <c r="E2" s="4">
        <v>3.6</v>
      </c>
      <c r="F2" s="4">
        <v>4.0235029999999998</v>
      </c>
      <c r="G2" s="4">
        <v>-18.942646</v>
      </c>
      <c r="H2" s="12">
        <v>251017</v>
      </c>
      <c r="I2">
        <f>E2/D2</f>
        <v>12</v>
      </c>
    </row>
    <row r="3" spans="1:9" x14ac:dyDescent="0.35">
      <c r="A3">
        <f t="shared" ref="A3:A16" si="0">2024.75-(B3/0.1)</f>
        <v>1874.75</v>
      </c>
      <c r="B3">
        <v>15</v>
      </c>
      <c r="C3" s="3" t="s">
        <v>88</v>
      </c>
      <c r="D3" s="4">
        <v>0.04</v>
      </c>
      <c r="E3" s="4">
        <v>0.52</v>
      </c>
      <c r="F3" s="4">
        <v>3.190957</v>
      </c>
      <c r="G3" s="4">
        <v>-18.251273000000005</v>
      </c>
      <c r="H3" s="12">
        <v>251017</v>
      </c>
      <c r="I3">
        <f t="shared" ref="I3:I16" si="1">E3/D3</f>
        <v>13</v>
      </c>
    </row>
    <row r="4" spans="1:9" x14ac:dyDescent="0.35">
      <c r="A4">
        <f t="shared" si="0"/>
        <v>1834.75</v>
      </c>
      <c r="B4">
        <v>19</v>
      </c>
      <c r="C4" s="3" t="s">
        <v>89</v>
      </c>
      <c r="D4" s="4">
        <v>0.06</v>
      </c>
      <c r="E4" s="4">
        <v>0.7</v>
      </c>
      <c r="F4" s="4">
        <v>3.2214160000000005</v>
      </c>
      <c r="G4" s="4">
        <v>-17.425753000000004</v>
      </c>
      <c r="H4" s="12">
        <v>251017</v>
      </c>
      <c r="I4">
        <f t="shared" si="1"/>
        <v>11.666666666666666</v>
      </c>
    </row>
    <row r="5" spans="1:9" x14ac:dyDescent="0.35">
      <c r="A5">
        <f t="shared" si="0"/>
        <v>1794.75</v>
      </c>
      <c r="B5">
        <v>23</v>
      </c>
      <c r="C5" s="3" t="s">
        <v>90</v>
      </c>
      <c r="D5" s="4">
        <v>0.01</v>
      </c>
      <c r="E5" s="4">
        <v>0.19</v>
      </c>
      <c r="F5" s="4">
        <v>3.8407490000000002</v>
      </c>
      <c r="G5" s="4">
        <v>-19.933270000000004</v>
      </c>
      <c r="H5" s="12">
        <v>251017</v>
      </c>
      <c r="I5">
        <f t="shared" si="1"/>
        <v>19</v>
      </c>
    </row>
    <row r="6" spans="1:9" x14ac:dyDescent="0.35">
      <c r="A6">
        <f t="shared" si="0"/>
        <v>1754.75</v>
      </c>
      <c r="B6">
        <v>27</v>
      </c>
      <c r="C6" s="3" t="s">
        <v>91</v>
      </c>
      <c r="D6" s="4">
        <v>0.04</v>
      </c>
      <c r="E6" s="4">
        <v>0.43</v>
      </c>
      <c r="F6" s="4">
        <v>4.0641150000000001</v>
      </c>
      <c r="G6" s="4">
        <v>-19.272854000000002</v>
      </c>
      <c r="H6" s="12">
        <v>251017</v>
      </c>
      <c r="I6">
        <f t="shared" si="1"/>
        <v>10.75</v>
      </c>
    </row>
    <row r="7" spans="1:9" x14ac:dyDescent="0.35">
      <c r="A7">
        <f t="shared" si="0"/>
        <v>1994.75</v>
      </c>
      <c r="B7">
        <v>3</v>
      </c>
      <c r="C7" s="3" t="s">
        <v>92</v>
      </c>
      <c r="D7" s="4">
        <v>0.15</v>
      </c>
      <c r="E7" s="4">
        <v>2.11</v>
      </c>
      <c r="F7" s="4">
        <v>3.130039</v>
      </c>
      <c r="G7" s="4">
        <v>-19.861037000000003</v>
      </c>
      <c r="H7" s="12">
        <v>251017</v>
      </c>
      <c r="I7">
        <f t="shared" si="1"/>
        <v>14.066666666666666</v>
      </c>
    </row>
    <row r="8" spans="1:9" x14ac:dyDescent="0.35">
      <c r="A8">
        <f t="shared" si="0"/>
        <v>1694.75</v>
      </c>
      <c r="B8">
        <v>33</v>
      </c>
      <c r="C8" s="3" t="s">
        <v>93</v>
      </c>
      <c r="D8" s="4">
        <v>0.1</v>
      </c>
      <c r="E8" s="4">
        <v>1.02</v>
      </c>
      <c r="F8" s="4">
        <v>3.9625850000000007</v>
      </c>
      <c r="G8" s="4">
        <v>-18.849775000000001</v>
      </c>
      <c r="H8" s="12">
        <v>251017</v>
      </c>
      <c r="I8">
        <f t="shared" si="1"/>
        <v>10.199999999999999</v>
      </c>
    </row>
    <row r="9" spans="1:9" x14ac:dyDescent="0.35">
      <c r="A9">
        <f t="shared" si="0"/>
        <v>1634.75</v>
      </c>
      <c r="B9">
        <v>39</v>
      </c>
      <c r="C9" s="3" t="s">
        <v>94</v>
      </c>
      <c r="D9" s="4">
        <v>0.05</v>
      </c>
      <c r="E9" s="4">
        <v>0.56999999999999995</v>
      </c>
      <c r="F9" s="4">
        <v>3.6173830000000002</v>
      </c>
      <c r="G9" s="4">
        <v>-18.674351999999999</v>
      </c>
      <c r="H9" s="12">
        <v>251017</v>
      </c>
      <c r="I9">
        <f t="shared" si="1"/>
        <v>11.399999999999999</v>
      </c>
    </row>
    <row r="10" spans="1:9" x14ac:dyDescent="0.35">
      <c r="A10">
        <f t="shared" si="0"/>
        <v>1574.75</v>
      </c>
      <c r="B10">
        <v>45</v>
      </c>
      <c r="C10" s="3" t="s">
        <v>95</v>
      </c>
      <c r="D10" s="4">
        <v>0.1</v>
      </c>
      <c r="E10" s="4">
        <v>1.1399999999999999</v>
      </c>
      <c r="F10" s="4">
        <v>4.1351860000000009</v>
      </c>
      <c r="G10" s="4">
        <v>-19.345087000000003</v>
      </c>
      <c r="H10" s="12">
        <v>251017</v>
      </c>
      <c r="I10">
        <f t="shared" si="1"/>
        <v>11.399999999999999</v>
      </c>
    </row>
    <row r="11" spans="1:9" x14ac:dyDescent="0.35">
      <c r="A11">
        <f t="shared" si="0"/>
        <v>1974.75</v>
      </c>
      <c r="B11">
        <v>5</v>
      </c>
      <c r="C11" s="3" t="s">
        <v>96</v>
      </c>
      <c r="D11" s="4">
        <v>0.01</v>
      </c>
      <c r="E11" s="4">
        <v>7.0000000000000007E-2</v>
      </c>
      <c r="F11" s="4"/>
      <c r="G11" s="4"/>
      <c r="H11" s="12">
        <v>251017</v>
      </c>
      <c r="I11">
        <f t="shared" si="1"/>
        <v>7.0000000000000009</v>
      </c>
    </row>
    <row r="12" spans="1:9" x14ac:dyDescent="0.35">
      <c r="A12">
        <f t="shared" si="0"/>
        <v>1474.75</v>
      </c>
      <c r="B12">
        <v>55</v>
      </c>
      <c r="C12" s="3" t="s">
        <v>97</v>
      </c>
      <c r="D12" s="4">
        <v>0.01</v>
      </c>
      <c r="E12" s="4">
        <v>0.14000000000000001</v>
      </c>
      <c r="F12" s="4"/>
      <c r="G12" s="4">
        <v>-19.995184000000002</v>
      </c>
      <c r="H12" s="12">
        <v>251017</v>
      </c>
      <c r="I12">
        <f t="shared" si="1"/>
        <v>14.000000000000002</v>
      </c>
    </row>
    <row r="13" spans="1:9" x14ac:dyDescent="0.35">
      <c r="A13">
        <f t="shared" si="0"/>
        <v>1374.75</v>
      </c>
      <c r="B13">
        <v>65</v>
      </c>
      <c r="C13" s="3" t="s">
        <v>98</v>
      </c>
      <c r="D13" s="4">
        <v>0.01</v>
      </c>
      <c r="E13" s="4">
        <v>0.16</v>
      </c>
      <c r="F13" s="4"/>
      <c r="G13" s="4">
        <v>-20.026141000000003</v>
      </c>
      <c r="H13" s="12">
        <v>251017</v>
      </c>
      <c r="I13">
        <f t="shared" si="1"/>
        <v>16</v>
      </c>
    </row>
    <row r="14" spans="1:9" x14ac:dyDescent="0.35">
      <c r="A14">
        <f t="shared" si="0"/>
        <v>1254.75</v>
      </c>
      <c r="B14">
        <v>77</v>
      </c>
      <c r="C14" s="3" t="s">
        <v>99</v>
      </c>
      <c r="D14" s="4">
        <v>0.01</v>
      </c>
      <c r="E14" s="4">
        <v>0.28000000000000003</v>
      </c>
      <c r="F14" s="4"/>
      <c r="G14" s="4">
        <v>-20.818375150991418</v>
      </c>
      <c r="H14" s="12">
        <v>251103</v>
      </c>
      <c r="I14">
        <f t="shared" si="1"/>
        <v>28.000000000000004</v>
      </c>
    </row>
    <row r="15" spans="1:9" x14ac:dyDescent="0.35">
      <c r="A15">
        <f t="shared" si="0"/>
        <v>1934.75</v>
      </c>
      <c r="B15">
        <v>9</v>
      </c>
      <c r="C15" s="3" t="s">
        <v>100</v>
      </c>
      <c r="D15" s="4">
        <v>0.04</v>
      </c>
      <c r="E15" s="4">
        <v>0.56000000000000005</v>
      </c>
      <c r="F15" s="4">
        <v>2.815296</v>
      </c>
      <c r="G15" s="4">
        <v>-17.755961000000003</v>
      </c>
      <c r="H15" s="12">
        <v>251017</v>
      </c>
      <c r="I15">
        <f t="shared" si="1"/>
        <v>14.000000000000002</v>
      </c>
    </row>
    <row r="16" spans="1:9" x14ac:dyDescent="0.35">
      <c r="A16">
        <f t="shared" si="0"/>
        <v>1154.75</v>
      </c>
      <c r="B16">
        <v>87</v>
      </c>
      <c r="C16" s="3" t="s">
        <v>101</v>
      </c>
      <c r="D16" s="4">
        <v>0.1</v>
      </c>
      <c r="E16" s="4">
        <v>0.71</v>
      </c>
      <c r="F16" s="4">
        <v>3.5135868609999998</v>
      </c>
      <c r="G16" s="4">
        <v>-19.778383526999999</v>
      </c>
      <c r="H16" s="13">
        <v>250717</v>
      </c>
      <c r="I16">
        <f t="shared" si="1"/>
        <v>7.1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29C2A-70F4-42A8-8868-86378549936D}">
  <dimension ref="A1:I17"/>
  <sheetViews>
    <sheetView workbookViewId="0">
      <selection activeCell="G22" sqref="G22"/>
    </sheetView>
  </sheetViews>
  <sheetFormatPr baseColWidth="10" defaultRowHeight="14.5" x14ac:dyDescent="0.35"/>
  <cols>
    <col min="9" max="9" width="12" bestFit="1" customWidth="1"/>
  </cols>
  <sheetData>
    <row r="1" spans="1:9" ht="15" thickBot="1" x14ac:dyDescent="0.4">
      <c r="A1" t="s">
        <v>134</v>
      </c>
      <c r="B1" t="s">
        <v>70</v>
      </c>
      <c r="C1" s="21" t="s">
        <v>0</v>
      </c>
      <c r="D1" s="23" t="s">
        <v>1</v>
      </c>
      <c r="E1" s="23" t="s">
        <v>2</v>
      </c>
      <c r="F1" s="1" t="s">
        <v>3</v>
      </c>
      <c r="G1" s="1" t="s">
        <v>4</v>
      </c>
      <c r="H1" s="2" t="s">
        <v>5</v>
      </c>
      <c r="I1" t="s">
        <v>69</v>
      </c>
    </row>
    <row r="2" spans="1:9" x14ac:dyDescent="0.35">
      <c r="A2">
        <f>2024.75-(B2/0.631770170009667)</f>
        <v>2023.1671459061058</v>
      </c>
      <c r="B2">
        <v>1</v>
      </c>
      <c r="C2" s="16" t="s">
        <v>102</v>
      </c>
      <c r="D2" s="14">
        <v>0.12</v>
      </c>
      <c r="E2" s="14">
        <v>1.39</v>
      </c>
      <c r="F2" s="14">
        <v>4.7748249999999999</v>
      </c>
      <c r="G2" s="14">
        <v>-23.028970000000001</v>
      </c>
      <c r="H2" s="12">
        <v>251017</v>
      </c>
      <c r="I2">
        <f>E2/D2</f>
        <v>11.583333333333332</v>
      </c>
    </row>
    <row r="3" spans="1:9" x14ac:dyDescent="0.35">
      <c r="A3">
        <f t="shared" ref="A3:A17" si="0">2024.75-(B3/0.631770170009667)</f>
        <v>2001.0071885915879</v>
      </c>
      <c r="B3">
        <v>15</v>
      </c>
      <c r="C3" s="3" t="s">
        <v>103</v>
      </c>
      <c r="D3" s="4">
        <v>0.11</v>
      </c>
      <c r="E3" s="4">
        <v>1.23</v>
      </c>
      <c r="F3" s="4">
        <v>4.8154370000000011</v>
      </c>
      <c r="G3" s="4">
        <v>-23.142479000000002</v>
      </c>
      <c r="H3" s="12">
        <v>251017</v>
      </c>
      <c r="I3">
        <f t="shared" ref="I3:I17" si="1">E3/D3</f>
        <v>11.181818181818182</v>
      </c>
    </row>
    <row r="4" spans="1:9" x14ac:dyDescent="0.35">
      <c r="A4">
        <f t="shared" si="0"/>
        <v>1994.6757722160112</v>
      </c>
      <c r="B4">
        <v>19</v>
      </c>
      <c r="C4" s="16" t="s">
        <v>104</v>
      </c>
      <c r="D4" s="14">
        <v>0.12</v>
      </c>
      <c r="E4" s="14">
        <v>1.34</v>
      </c>
      <c r="F4" s="14">
        <v>4.7342130000000004</v>
      </c>
      <c r="G4" s="14">
        <v>-23.493325000000002</v>
      </c>
      <c r="H4" s="12">
        <v>251017</v>
      </c>
      <c r="I4">
        <f t="shared" si="1"/>
        <v>11.166666666666668</v>
      </c>
    </row>
    <row r="5" spans="1:9" x14ac:dyDescent="0.35">
      <c r="A5">
        <f t="shared" si="0"/>
        <v>1988.3443558404347</v>
      </c>
      <c r="B5">
        <v>23</v>
      </c>
      <c r="C5" s="16" t="s">
        <v>105</v>
      </c>
      <c r="D5" s="14">
        <v>0.18</v>
      </c>
      <c r="E5" s="14">
        <v>2</v>
      </c>
      <c r="F5" s="14">
        <v>4.6225299999999994</v>
      </c>
      <c r="G5" s="4">
        <v>-24.184698000000004</v>
      </c>
      <c r="H5" s="12">
        <v>251017</v>
      </c>
      <c r="I5">
        <f t="shared" si="1"/>
        <v>11.111111111111111</v>
      </c>
    </row>
    <row r="6" spans="1:9" x14ac:dyDescent="0.35">
      <c r="A6">
        <f t="shared" si="0"/>
        <v>1982.0129394648582</v>
      </c>
      <c r="B6">
        <v>27</v>
      </c>
      <c r="C6" s="16" t="s">
        <v>106</v>
      </c>
      <c r="D6" s="14">
        <v>0.17</v>
      </c>
      <c r="E6" s="14">
        <v>1.74</v>
      </c>
      <c r="F6" s="14">
        <v>4.9575790000000008</v>
      </c>
      <c r="G6" s="14">
        <v>-22.523339</v>
      </c>
      <c r="H6" s="12">
        <v>251017</v>
      </c>
      <c r="I6">
        <f t="shared" si="1"/>
        <v>10.235294117647058</v>
      </c>
    </row>
    <row r="7" spans="1:9" x14ac:dyDescent="0.35">
      <c r="A7">
        <f t="shared" si="0"/>
        <v>2020.0014377183177</v>
      </c>
      <c r="B7">
        <v>3</v>
      </c>
      <c r="C7" s="3" t="s">
        <v>107</v>
      </c>
      <c r="D7" s="4">
        <v>0.09</v>
      </c>
      <c r="E7" s="4">
        <v>1.02</v>
      </c>
      <c r="F7" s="4">
        <v>4.3458759909999998</v>
      </c>
      <c r="G7" s="4"/>
      <c r="H7" s="12">
        <v>250710</v>
      </c>
      <c r="I7">
        <f t="shared" si="1"/>
        <v>11.333333333333334</v>
      </c>
    </row>
    <row r="8" spans="1:9" x14ac:dyDescent="0.35">
      <c r="A8">
        <f t="shared" si="0"/>
        <v>1972.5158149014933</v>
      </c>
      <c r="B8">
        <v>33</v>
      </c>
      <c r="C8" s="3" t="s">
        <v>108</v>
      </c>
      <c r="D8" s="4">
        <v>0.14000000000000001</v>
      </c>
      <c r="E8" s="4">
        <v>1.61</v>
      </c>
      <c r="F8" s="4">
        <v>4.9271200000000004</v>
      </c>
      <c r="G8" s="4">
        <v>-24.040232000000003</v>
      </c>
      <c r="H8" s="12">
        <v>251017</v>
      </c>
      <c r="I8">
        <f t="shared" si="1"/>
        <v>11.5</v>
      </c>
    </row>
    <row r="9" spans="1:9" x14ac:dyDescent="0.35">
      <c r="A9">
        <f t="shared" si="0"/>
        <v>1963.0186903381284</v>
      </c>
      <c r="B9">
        <v>39</v>
      </c>
      <c r="C9" s="16" t="s">
        <v>109</v>
      </c>
      <c r="D9" s="14">
        <v>0.17</v>
      </c>
      <c r="E9" s="14">
        <v>1.85</v>
      </c>
      <c r="F9" s="14">
        <v>5.0388029999999997</v>
      </c>
      <c r="G9" s="14">
        <v>-23.059927000000002</v>
      </c>
      <c r="H9" s="12">
        <v>251017</v>
      </c>
      <c r="I9">
        <f t="shared" si="1"/>
        <v>10.882352941176471</v>
      </c>
    </row>
    <row r="10" spans="1:9" x14ac:dyDescent="0.35">
      <c r="A10">
        <f t="shared" si="0"/>
        <v>1953.5215657747635</v>
      </c>
      <c r="B10">
        <v>45</v>
      </c>
      <c r="C10" s="16" t="s">
        <v>110</v>
      </c>
      <c r="D10" s="14">
        <v>0.2</v>
      </c>
      <c r="E10" s="14">
        <v>1.87</v>
      </c>
      <c r="F10" s="14">
        <v>5.140333</v>
      </c>
      <c r="G10" s="14">
        <v>-22.678124000000004</v>
      </c>
      <c r="H10" s="12">
        <v>251017</v>
      </c>
      <c r="I10">
        <f t="shared" si="1"/>
        <v>9.35</v>
      </c>
    </row>
    <row r="11" spans="1:9" x14ac:dyDescent="0.35">
      <c r="A11">
        <f t="shared" si="0"/>
        <v>2016.8357295305293</v>
      </c>
      <c r="B11">
        <v>5</v>
      </c>
      <c r="C11" s="16" t="s">
        <v>111</v>
      </c>
      <c r="D11" s="14">
        <v>0.14000000000000001</v>
      </c>
      <c r="E11" s="14">
        <v>1.56</v>
      </c>
      <c r="F11" s="14">
        <v>5.1504860000000008</v>
      </c>
      <c r="G11" s="14">
        <v>-22.832909000000001</v>
      </c>
      <c r="H11" s="12">
        <v>251017</v>
      </c>
      <c r="I11">
        <f t="shared" si="1"/>
        <v>11.142857142857142</v>
      </c>
    </row>
    <row r="12" spans="1:9" x14ac:dyDescent="0.35">
      <c r="A12">
        <f t="shared" si="0"/>
        <v>1950.3558575869754</v>
      </c>
      <c r="B12">
        <v>47</v>
      </c>
      <c r="C12" s="16" t="s">
        <v>112</v>
      </c>
      <c r="D12" s="14">
        <v>0.2</v>
      </c>
      <c r="E12" s="14">
        <v>1.96</v>
      </c>
      <c r="F12" s="14">
        <v>4.5413060000000005</v>
      </c>
      <c r="G12" s="14">
        <v>-23.895766000000002</v>
      </c>
      <c r="H12" s="12">
        <v>251017</v>
      </c>
      <c r="I12">
        <f t="shared" si="1"/>
        <v>9.7999999999999989</v>
      </c>
    </row>
    <row r="13" spans="1:9" x14ac:dyDescent="0.35">
      <c r="A13">
        <f t="shared" si="0"/>
        <v>1937.6930248358221</v>
      </c>
      <c r="B13">
        <v>55</v>
      </c>
      <c r="C13" s="3" t="s">
        <v>113</v>
      </c>
      <c r="D13" s="4">
        <v>7.0000000000000007E-2</v>
      </c>
      <c r="E13" s="4">
        <v>0.89</v>
      </c>
      <c r="F13" s="4">
        <v>4.7748249999999999</v>
      </c>
      <c r="G13" s="4">
        <v>-23.173436000000002</v>
      </c>
      <c r="H13" s="12">
        <v>251017</v>
      </c>
      <c r="I13">
        <f t="shared" si="1"/>
        <v>12.714285714285714</v>
      </c>
    </row>
    <row r="14" spans="1:9" x14ac:dyDescent="0.35">
      <c r="A14">
        <f t="shared" si="0"/>
        <v>1921.8644838968808</v>
      </c>
      <c r="B14">
        <v>65</v>
      </c>
      <c r="C14" s="3" t="s">
        <v>114</v>
      </c>
      <c r="D14" s="4">
        <v>0.06</v>
      </c>
      <c r="E14" s="4">
        <v>0.67</v>
      </c>
      <c r="F14" s="4">
        <v>5.018497</v>
      </c>
      <c r="G14" s="4">
        <v>-22.213769000000003</v>
      </c>
      <c r="H14" s="12">
        <v>251017</v>
      </c>
      <c r="I14">
        <f t="shared" si="1"/>
        <v>11.166666666666668</v>
      </c>
    </row>
    <row r="15" spans="1:9" x14ac:dyDescent="0.35">
      <c r="A15">
        <f t="shared" si="0"/>
        <v>1902.870234770151</v>
      </c>
      <c r="B15">
        <v>77</v>
      </c>
      <c r="C15" s="16" t="s">
        <v>115</v>
      </c>
      <c r="D15" s="14">
        <v>0.09</v>
      </c>
      <c r="E15" s="14">
        <v>0.97</v>
      </c>
      <c r="F15" s="14">
        <v>5.0202352649870736</v>
      </c>
      <c r="G15" s="14">
        <v>-22.863006776726269</v>
      </c>
      <c r="H15" s="12">
        <v>251103</v>
      </c>
      <c r="I15">
        <f t="shared" si="1"/>
        <v>10.777777777777779</v>
      </c>
    </row>
    <row r="16" spans="1:9" x14ac:dyDescent="0.35">
      <c r="A16">
        <f t="shared" si="0"/>
        <v>2010.5043131549528</v>
      </c>
      <c r="B16">
        <v>9</v>
      </c>
      <c r="C16" s="3" t="s">
        <v>116</v>
      </c>
      <c r="D16" s="15">
        <v>0.09</v>
      </c>
      <c r="E16" s="15">
        <v>1.05</v>
      </c>
      <c r="F16" s="15">
        <v>4.8560490000000005</v>
      </c>
      <c r="G16" s="15">
        <v>-22.92578</v>
      </c>
      <c r="H16" s="12">
        <v>251017</v>
      </c>
      <c r="I16">
        <f t="shared" si="1"/>
        <v>11.666666666666668</v>
      </c>
    </row>
    <row r="17" spans="1:9" x14ac:dyDescent="0.35">
      <c r="A17">
        <f t="shared" si="0"/>
        <v>1887.0416938312096</v>
      </c>
      <c r="B17">
        <v>87</v>
      </c>
      <c r="C17" s="16" t="s">
        <v>117</v>
      </c>
      <c r="D17" s="14">
        <v>0.05</v>
      </c>
      <c r="E17" s="14">
        <v>0.56000000000000005</v>
      </c>
      <c r="F17" s="14">
        <v>5.1910980000000002</v>
      </c>
      <c r="G17" s="14">
        <v>-23.668748000000004</v>
      </c>
      <c r="H17" s="12">
        <v>251017</v>
      </c>
      <c r="I17">
        <f t="shared" si="1"/>
        <v>11.200000000000001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B2DED-806A-4F11-9D2C-ECB924C61FE2}">
  <dimension ref="A1:I17"/>
  <sheetViews>
    <sheetView workbookViewId="0">
      <selection activeCell="G19" sqref="G19"/>
    </sheetView>
  </sheetViews>
  <sheetFormatPr baseColWidth="10" defaultRowHeight="14.5" x14ac:dyDescent="0.35"/>
  <cols>
    <col min="9" max="9" width="12" bestFit="1" customWidth="1"/>
  </cols>
  <sheetData>
    <row r="1" spans="1:9" ht="15" thickBot="1" x14ac:dyDescent="0.4">
      <c r="A1" t="s">
        <v>134</v>
      </c>
      <c r="B1" t="s">
        <v>70</v>
      </c>
      <c r="C1" s="21" t="s">
        <v>0</v>
      </c>
      <c r="D1" s="23" t="s">
        <v>1</v>
      </c>
      <c r="E1" s="23" t="s">
        <v>2</v>
      </c>
      <c r="F1" s="1" t="s">
        <v>3</v>
      </c>
      <c r="G1" s="1" t="s">
        <v>4</v>
      </c>
      <c r="H1" s="2" t="s">
        <v>5</v>
      </c>
      <c r="I1" t="s">
        <v>69</v>
      </c>
    </row>
    <row r="2" spans="1:9" x14ac:dyDescent="0.35">
      <c r="A2">
        <f>2024.74-(B2/0.419051600938427)</f>
        <v>2022.3536590392196</v>
      </c>
      <c r="B2">
        <v>1</v>
      </c>
      <c r="C2" s="3" t="s">
        <v>118</v>
      </c>
      <c r="D2" s="4">
        <v>0.41</v>
      </c>
      <c r="E2" s="4">
        <v>3.3</v>
      </c>
      <c r="F2" s="4">
        <v>6.948619098</v>
      </c>
      <c r="G2" s="4">
        <v>-23.423935596</v>
      </c>
      <c r="H2" s="13">
        <v>250717</v>
      </c>
      <c r="I2">
        <f>E2/D2</f>
        <v>8.0487804878048781</v>
      </c>
    </row>
    <row r="3" spans="1:9" x14ac:dyDescent="0.35">
      <c r="A3">
        <f t="shared" ref="A3:A17" si="0">2024.74-(B3/0.419051600938427)</f>
        <v>1988.9448855882929</v>
      </c>
      <c r="B3">
        <v>15</v>
      </c>
      <c r="C3" s="3" t="s">
        <v>119</v>
      </c>
      <c r="D3" s="4">
        <v>0.23</v>
      </c>
      <c r="E3" s="4">
        <v>1.85</v>
      </c>
      <c r="F3" s="4">
        <v>5.5100181600000004</v>
      </c>
      <c r="G3" s="4">
        <v>-21.154400359</v>
      </c>
      <c r="H3" s="13">
        <v>250717</v>
      </c>
      <c r="I3">
        <f t="shared" ref="I3:I17" si="1">E3/D3</f>
        <v>8.0434782608695645</v>
      </c>
    </row>
    <row r="4" spans="1:9" x14ac:dyDescent="0.35">
      <c r="A4">
        <f t="shared" si="0"/>
        <v>1979.3995217451711</v>
      </c>
      <c r="B4">
        <v>19</v>
      </c>
      <c r="C4" s="3" t="s">
        <v>120</v>
      </c>
      <c r="D4" s="4">
        <v>0.15</v>
      </c>
      <c r="E4" s="4">
        <v>1.05</v>
      </c>
      <c r="F4" s="4">
        <v>4.7015039720000003</v>
      </c>
      <c r="G4" s="4">
        <v>-21.813035591999999</v>
      </c>
      <c r="H4" s="13">
        <v>250717</v>
      </c>
      <c r="I4">
        <f t="shared" si="1"/>
        <v>7.0000000000000009</v>
      </c>
    </row>
    <row r="5" spans="1:9" x14ac:dyDescent="0.35">
      <c r="A5">
        <f t="shared" si="0"/>
        <v>1969.8541579020491</v>
      </c>
      <c r="B5">
        <v>23</v>
      </c>
      <c r="C5" s="3" t="s">
        <v>121</v>
      </c>
      <c r="D5" s="4">
        <v>0.19</v>
      </c>
      <c r="E5" s="4">
        <v>1.4</v>
      </c>
      <c r="F5" s="4">
        <v>5.880985044</v>
      </c>
      <c r="G5" s="4">
        <v>-21.47388939</v>
      </c>
      <c r="H5" s="13">
        <v>250717</v>
      </c>
      <c r="I5">
        <f t="shared" si="1"/>
        <v>7.3684210526315788</v>
      </c>
    </row>
    <row r="6" spans="1:9" x14ac:dyDescent="0.35">
      <c r="A6">
        <f t="shared" si="0"/>
        <v>1960.3087940589273</v>
      </c>
      <c r="B6">
        <v>27</v>
      </c>
      <c r="C6" s="3" t="s">
        <v>122</v>
      </c>
      <c r="D6" s="4">
        <v>0.23</v>
      </c>
      <c r="E6" s="4">
        <v>1.88</v>
      </c>
      <c r="F6" s="4">
        <v>5.6156404550000003</v>
      </c>
      <c r="G6" s="4">
        <v>-19.780875438999999</v>
      </c>
      <c r="H6" s="13">
        <v>250717</v>
      </c>
      <c r="I6">
        <f t="shared" si="1"/>
        <v>8.1739130434782599</v>
      </c>
    </row>
    <row r="7" spans="1:9" x14ac:dyDescent="0.35">
      <c r="A7">
        <f t="shared" si="0"/>
        <v>2017.5809771176587</v>
      </c>
      <c r="B7">
        <v>3</v>
      </c>
      <c r="C7" s="3" t="s">
        <v>123</v>
      </c>
      <c r="D7" s="4">
        <v>0.45</v>
      </c>
      <c r="E7" s="4">
        <v>3.09</v>
      </c>
      <c r="F7" s="4">
        <v>6.7590079940000001</v>
      </c>
      <c r="G7" s="4">
        <v>-22.612716283000001</v>
      </c>
      <c r="H7" s="13">
        <v>250717</v>
      </c>
      <c r="I7">
        <f t="shared" si="1"/>
        <v>6.8666666666666663</v>
      </c>
    </row>
    <row r="8" spans="1:9" x14ac:dyDescent="0.35">
      <c r="A8">
        <f t="shared" si="0"/>
        <v>1945.9907482942444</v>
      </c>
      <c r="B8">
        <v>33</v>
      </c>
      <c r="C8" s="3" t="s">
        <v>124</v>
      </c>
      <c r="D8" s="4">
        <v>0.2</v>
      </c>
      <c r="E8" s="4">
        <v>1.88</v>
      </c>
      <c r="F8" s="4">
        <v>4.7534025409999998</v>
      </c>
      <c r="G8" s="4">
        <v>-21.586118752000001</v>
      </c>
      <c r="H8" s="13">
        <v>250717</v>
      </c>
      <c r="I8">
        <f t="shared" si="1"/>
        <v>9.3999999999999986</v>
      </c>
    </row>
    <row r="9" spans="1:9" x14ac:dyDescent="0.35">
      <c r="A9">
        <f t="shared" si="0"/>
        <v>1931.6727025295618</v>
      </c>
      <c r="B9">
        <v>39</v>
      </c>
      <c r="C9" s="3" t="s">
        <v>125</v>
      </c>
      <c r="D9" s="4">
        <v>0.13</v>
      </c>
      <c r="E9" s="4">
        <v>0.91</v>
      </c>
      <c r="F9" s="4">
        <v>4.8625347640000003</v>
      </c>
      <c r="G9" s="4">
        <v>-21.499968428999999</v>
      </c>
      <c r="H9" s="13">
        <v>250717</v>
      </c>
      <c r="I9">
        <f t="shared" si="1"/>
        <v>7</v>
      </c>
    </row>
    <row r="10" spans="1:9" x14ac:dyDescent="0.35">
      <c r="A10">
        <f t="shared" si="0"/>
        <v>1917.3546567648789</v>
      </c>
      <c r="B10">
        <v>45</v>
      </c>
      <c r="C10" s="3" t="s">
        <v>126</v>
      </c>
      <c r="D10" s="4">
        <v>0.24</v>
      </c>
      <c r="E10" s="4">
        <v>1.48</v>
      </c>
      <c r="F10" s="4">
        <v>4.3246193450000003</v>
      </c>
      <c r="G10" s="4">
        <v>-21.633975834000001</v>
      </c>
      <c r="H10" s="13">
        <v>250717</v>
      </c>
      <c r="I10">
        <f t="shared" si="1"/>
        <v>6.166666666666667</v>
      </c>
    </row>
    <row r="11" spans="1:9" x14ac:dyDescent="0.35">
      <c r="A11">
        <f t="shared" si="0"/>
        <v>2012.8082951960976</v>
      </c>
      <c r="B11">
        <v>5</v>
      </c>
      <c r="C11" s="3" t="s">
        <v>127</v>
      </c>
      <c r="D11" s="4">
        <v>0.34</v>
      </c>
      <c r="E11" s="4">
        <v>2.41</v>
      </c>
      <c r="F11" s="4">
        <v>6.120924799</v>
      </c>
      <c r="G11" s="4">
        <v>-21.886950209999998</v>
      </c>
      <c r="H11" s="13">
        <v>250717</v>
      </c>
      <c r="I11">
        <f t="shared" si="1"/>
        <v>7.0882352941176467</v>
      </c>
    </row>
    <row r="12" spans="1:9" x14ac:dyDescent="0.35">
      <c r="A12">
        <f t="shared" si="0"/>
        <v>1912.581974843318</v>
      </c>
      <c r="B12">
        <v>47</v>
      </c>
      <c r="C12" s="3" t="s">
        <v>128</v>
      </c>
      <c r="D12" s="4">
        <v>0.08</v>
      </c>
      <c r="E12" s="4">
        <v>0.64</v>
      </c>
      <c r="F12" s="4">
        <v>4.1652860230000002</v>
      </c>
      <c r="G12" s="4">
        <v>-22.077696458999998</v>
      </c>
      <c r="H12" s="13">
        <v>250717</v>
      </c>
      <c r="I12">
        <f t="shared" si="1"/>
        <v>8</v>
      </c>
    </row>
    <row r="13" spans="1:9" x14ac:dyDescent="0.35">
      <c r="A13">
        <f t="shared" si="0"/>
        <v>1893.4912471570742</v>
      </c>
      <c r="B13">
        <v>55</v>
      </c>
      <c r="C13" s="3" t="s">
        <v>129</v>
      </c>
      <c r="D13" s="4">
        <v>0.2</v>
      </c>
      <c r="E13" s="4">
        <v>1.81</v>
      </c>
      <c r="F13" s="4">
        <v>5.609430691</v>
      </c>
      <c r="G13" s="4">
        <v>-20.825954165999999</v>
      </c>
      <c r="H13" s="12">
        <v>250710</v>
      </c>
      <c r="I13">
        <f t="shared" si="1"/>
        <v>9.0499999999999989</v>
      </c>
    </row>
    <row r="14" spans="1:9" x14ac:dyDescent="0.35">
      <c r="A14">
        <f t="shared" si="0"/>
        <v>1869.6278375492695</v>
      </c>
      <c r="B14">
        <v>65</v>
      </c>
      <c r="C14" s="3" t="s">
        <v>130</v>
      </c>
      <c r="D14" s="4">
        <v>0.1</v>
      </c>
      <c r="E14" s="4">
        <v>0.89</v>
      </c>
      <c r="F14" s="4">
        <v>3.9120833720000001</v>
      </c>
      <c r="G14" s="4">
        <v>-22.052759393999999</v>
      </c>
      <c r="H14" s="13">
        <v>250717</v>
      </c>
      <c r="I14">
        <f t="shared" si="1"/>
        <v>8.9</v>
      </c>
    </row>
    <row r="15" spans="1:9" x14ac:dyDescent="0.35">
      <c r="A15">
        <f t="shared" si="0"/>
        <v>1840.9917460199038</v>
      </c>
      <c r="B15">
        <v>77</v>
      </c>
      <c r="C15" s="3" t="s">
        <v>131</v>
      </c>
      <c r="D15" s="4">
        <v>0.03</v>
      </c>
      <c r="E15" s="4">
        <v>0.3</v>
      </c>
      <c r="F15" s="4">
        <v>4.2671749999999999</v>
      </c>
      <c r="G15" s="4">
        <v>-23.121841000000003</v>
      </c>
      <c r="H15" s="12">
        <v>251017</v>
      </c>
      <c r="I15">
        <f t="shared" si="1"/>
        <v>10</v>
      </c>
    </row>
    <row r="16" spans="1:9" x14ac:dyDescent="0.35">
      <c r="A16">
        <f t="shared" si="0"/>
        <v>2003.2629313529758</v>
      </c>
      <c r="B16">
        <v>9</v>
      </c>
      <c r="C16" s="3" t="s">
        <v>132</v>
      </c>
      <c r="D16" s="4">
        <v>0.32</v>
      </c>
      <c r="E16" s="4">
        <v>2.68</v>
      </c>
      <c r="F16" s="4">
        <v>4.7635825279999997</v>
      </c>
      <c r="G16" s="4">
        <v>-23.301188439000001</v>
      </c>
      <c r="H16" s="13">
        <v>250717</v>
      </c>
      <c r="I16">
        <f t="shared" si="1"/>
        <v>8.375</v>
      </c>
    </row>
    <row r="17" spans="1:9" x14ac:dyDescent="0.35">
      <c r="A17">
        <f t="shared" si="0"/>
        <v>1817.1283364120991</v>
      </c>
      <c r="B17">
        <v>87</v>
      </c>
      <c r="C17" s="3" t="s">
        <v>133</v>
      </c>
      <c r="D17" s="4">
        <v>0.05</v>
      </c>
      <c r="E17" s="4">
        <v>0.4</v>
      </c>
      <c r="F17" s="4">
        <v>3.2063897099999998</v>
      </c>
      <c r="G17" s="4">
        <v>-23.711930945999999</v>
      </c>
      <c r="H17" s="13">
        <v>250717</v>
      </c>
      <c r="I17">
        <f t="shared" si="1"/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STO</vt:lpstr>
      <vt:lpstr>CLR</vt:lpstr>
      <vt:lpstr>CCO</vt:lpstr>
      <vt:lpstr>DEE</vt:lpstr>
      <vt:lpstr>CMB</vt:lpstr>
      <vt:lpstr>CSD</vt:lpstr>
      <vt:lpstr>HIO</vt:lpstr>
      <vt:lpstr>HIT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</dc:creator>
  <cp:lastModifiedBy>Elena Baños Lara</cp:lastModifiedBy>
  <dcterms:created xsi:type="dcterms:W3CDTF">2024-04-04T13:58:24Z</dcterms:created>
  <dcterms:modified xsi:type="dcterms:W3CDTF">2026-08-25T15:41:00Z</dcterms:modified>
</cp:coreProperties>
</file>